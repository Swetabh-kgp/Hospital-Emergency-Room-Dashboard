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Microsoft Excel Tutorial\Excel Project with Interactive Dashboard\Practice files for Excel Project with Interactive Dashboard\Project Files\"/>
    </mc:Choice>
  </mc:AlternateContent>
  <xr:revisionPtr revIDLastSave="0" documentId="13_ncr:1_{31B705A8-686F-4681-880A-750C63447379}" xr6:coauthVersionLast="47" xr6:coauthVersionMax="47" xr10:uidLastSave="{00000000-0000-0000-0000-000000000000}"/>
  <bookViews>
    <workbookView xWindow="-108" yWindow="-108" windowWidth="23256" windowHeight="13176" activeTab="1" xr2:uid="{00000000-000D-0000-FFFF-FFFF00000000}"/>
  </bookViews>
  <sheets>
    <sheet name="Pivot Report" sheetId="1" r:id="rId1"/>
    <sheet name="Dashboard" sheetId="2" r:id="rId2"/>
    <sheet name="Daily ER Patient Trend" sheetId="4" r:id="rId3"/>
    <sheet name="Avg Wait Time Trend" sheetId="5" r:id="rId4"/>
    <sheet name="Patient Satisfaction Score" sheetId="6" r:id="rId5"/>
  </sheets>
  <definedNames>
    <definedName name="Slicer_Date__Month">#N/A</definedName>
    <definedName name="Slicer_Date__Year">#N/A</definedName>
  </definedNames>
  <calcPr calcId="191029"/>
  <pivotCaches>
    <pivotCache cacheId="577" r:id="rId6"/>
    <pivotCache cacheId="580" r:id="rId7"/>
    <pivotCache cacheId="583" r:id="rId8"/>
    <pivotCache cacheId="586" r:id="rId9"/>
    <pivotCache cacheId="589" r:id="rId10"/>
    <pivotCache cacheId="592" r:id="rId11"/>
    <pivotCache cacheId="595" r:id="rId12"/>
    <pivotCache cacheId="598" r:id="rId13"/>
    <pivotCache cacheId="601" r:id="rId14"/>
    <pivotCache cacheId="604" r:id="rId15"/>
    <pivotCache cacheId="607" r:id="rId16"/>
    <pivotCache cacheId="610" r:id="rId17"/>
  </pivotCaches>
  <extLst>
    <ext xmlns:x14="http://schemas.microsoft.com/office/spreadsheetml/2009/9/main" uri="{876F7934-8845-4945-9796-88D515C7AA90}">
      <x14:pivotCaches>
        <pivotCache cacheId="2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a6bc5d6-17d6-453a-8655-971f8c83638c" name="Hospital Emergency Room Data" connection="Query - Hospital Emergency Room Data"/>
          <x15:modelTable id="Calender_Table_047c4916-9a1e-4fd9-8a9e-74885680a3b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C49" i="1"/>
  <c r="A49"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343F9-48D8-4DE7-B6A1-642F12DABD03}" name="Query - Calender_Table" description="Connection to the 'Calender_Table' query in the workbook." type="100" refreshedVersion="8" minRefreshableVersion="5">
    <extLst>
      <ext xmlns:x15="http://schemas.microsoft.com/office/spreadsheetml/2010/11/main" uri="{DE250136-89BD-433C-8126-D09CA5730AF9}">
        <x15:connection id="1a6a25c3-57f0-41e3-aab9-be6628938bac"/>
      </ext>
    </extLst>
  </connection>
  <connection id="2" xr16:uid="{1E077019-14D5-442B-B71A-4E4D1C02FBF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e8122f3-90db-439f-a22d-f02cb6f2d0a4"/>
      </ext>
    </extLst>
  </connection>
  <connection id="3" xr16:uid="{0857FDDE-FC4F-4174-B2BA-41122C62414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<sst xmlns="http://schemas.openxmlformats.org/spreadsheetml/2006/main" count="144" uniqueCount="67">
  <si>
    <t>Distinct Count of Patient Id</t>
  </si>
  <si>
    <t>No. of Patient</t>
  </si>
  <si>
    <t>Average of Patient Waittime</t>
  </si>
  <si>
    <t>Average of Patient Satisfaction Score</t>
  </si>
  <si>
    <t>Row Labels</t>
  </si>
  <si>
    <t>Grand Total</t>
  </si>
  <si>
    <t>Count of Patient Admission Flag</t>
  </si>
  <si>
    <t>Admitted</t>
  </si>
  <si>
    <t>Not Admitted</t>
  </si>
  <si>
    <t>Count of Patient Admission Flag2</t>
  </si>
  <si>
    <t>Admission Status</t>
  </si>
  <si>
    <t>% Status</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</si>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</sst>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color rgb="FF7030A0"/>
      <name val="Calibri"/>
      <family val="2"/>
      <scheme val="minor"/>
    </font>
    <font>
      <sz val="10"/>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vertical="center"/>
    </xf>
    <xf numFmtId="0" fontId="2" fillId="0" borderId="0" xfId="0" applyFont="1"/>
    <xf numFmtId="9" fontId="2" fillId="0" borderId="0" xfId="1" applyFont="1"/>
    <xf numFmtId="0" fontId="3" fillId="2" borderId="0" xfId="0" applyFont="1" applyFill="1"/>
  </cellXfs>
  <cellStyles count="2">
    <cellStyle name="Normal" xfId="0" builtinId="0"/>
    <cellStyle name="Percent" xfId="1" builtinId="5"/>
  </cellStyles>
  <dxfs count="121">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4"/>
        </bottom>
        <vertical/>
        <horizontal/>
      </border>
    </dxf>
    <dxf>
      <font>
        <strike val="0"/>
        <sz val="9"/>
        <color theme="1"/>
        <name val="Segoe UI"/>
        <family val="2"/>
        <scheme val="none"/>
      </font>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font>
        <b/>
        <color theme="1"/>
      </font>
      <border>
        <bottom style="thin">
          <color theme="7"/>
        </bottom>
        <vertical/>
        <horizontal/>
      </border>
    </dxf>
    <dxf>
      <font>
        <strike val="0"/>
        <sz val="10"/>
        <color theme="1"/>
        <name val="Segoe UI"/>
        <family val="2"/>
        <scheme val="none"/>
      </font>
      <border diagonalUp="0" diagonalDown="0">
        <left/>
        <right/>
        <top/>
        <bottom/>
        <vertical/>
        <horizontal/>
      </border>
    </dxf>
  </dxfs>
  <tableStyles count="2" defaultTableStyle="TableStyleMedium2" defaultPivotStyle="PivotStyleLight16">
    <tableStyle name="My Style" pivot="0" table="0" count="10" xr9:uid="{517BFDDC-0CEB-4999-A939-966800D1417F}">
      <tableStyleElement type="wholeTable" dxfId="120"/>
      <tableStyleElement type="headerRow" dxfId="119"/>
    </tableStyle>
    <tableStyle name="Slicer Style" pivot="0" table="0" count="10" xr9:uid="{30D9C9D0-881D-4623-9B52-14D3948B184A}">
      <tableStyleElement type="wholeTable" dxfId="100"/>
      <tableStyleElement type="headerRow" dxfId="99"/>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trike val="0"/>
            <sz val="9"/>
            <color rgb="FF7030A0"/>
            <name val="Segoe UI"/>
            <family val="2"/>
            <scheme val="none"/>
          </font>
          <fill>
            <patternFill patternType="solid">
              <fgColor theme="7" tint="0.59996337778862885"/>
              <bgColor theme="7" tint="0.599963377788628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trike val="0"/>
            <sz val="9"/>
            <color rgb="FF7030A0"/>
            <name val="Segoe UI"/>
            <family val="2"/>
            <scheme val="none"/>
          </font>
          <fill>
            <patternFill patternType="solid">
              <fgColor theme="7" tint="0.59996337778862885"/>
              <bgColor theme="5"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trike val="0"/>
            <sz val="9"/>
            <color rgb="FF7030A0"/>
            <name val="Segoe UI"/>
            <family val="2"/>
            <scheme val="none"/>
          </font>
          <fill>
            <patternFill patternType="solid">
              <fgColor theme="7" tint="0.59996337778862885"/>
              <bgColor theme="7"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trike val="0"/>
            <sz val="9"/>
            <color rgb="FF000000"/>
            <name val="Segoe UI"/>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trike val="0"/>
            <sz val="9"/>
            <color rgb="FF000000"/>
            <name val="Segoe UI"/>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strike val="0"/>
            <sz val="10"/>
            <color rgb="FF7030A0"/>
            <name val="Segoe UI"/>
            <family val="2"/>
            <scheme val="none"/>
          </font>
          <fill>
            <patternFill patternType="solid">
              <fgColor theme="5" tint="-0.24994659260841701"/>
              <bgColor theme="5"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trike val="0"/>
            <sz val="9"/>
            <color auto="1"/>
            <name val="Aptos"/>
            <family val="2"/>
            <scheme val="none"/>
          </font>
          <fill>
            <patternFill patternType="solid">
              <fgColor theme="7" tint="0.59996337778862885"/>
              <bgColor theme="7" tint="0.59996337778862885"/>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Report!PivotTable7</c:name>
    <c:fmtId val="0"/>
  </c:pivotSource>
  <c:chart>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fld id="{F77BB92E-66EC-4BAA-A1FD-FBC7F1D7FAA0}" type="CELLRANGE">
                  <a:rPr lang="en-US"/>
                  <a:pPr>
                    <a:defRPr b="1">
                      <a:solidFill>
                        <a:srgbClr val="7030A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2">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fld id="{EE8E9441-B122-4206-8CE6-53859BEA165B}" type="CELLRANGE">
                  <a:rPr lang="en-IN"/>
                  <a:pPr>
                    <a:defRPr b="1">
                      <a:solidFill>
                        <a:srgbClr val="7030A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8191364559300402"/>
          <c:y val="2.3463853858529244E-2"/>
          <c:w val="0.57812056786172983"/>
          <c:h val="0.89814814814814814"/>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2">
                <a:lumMod val="75000"/>
              </a:schemeClr>
            </a:solidFill>
            <a:ln>
              <a:noFill/>
            </a:ln>
            <a:effectLst/>
          </c:spPr>
          <c:invertIfNegative val="0"/>
          <c:dPt>
            <c:idx val="0"/>
            <c:invertIfNegative val="0"/>
            <c:bubble3D val="0"/>
            <c:extLst>
              <c:ext xmlns:c16="http://schemas.microsoft.com/office/drawing/2014/chart" uri="{C3380CC4-5D6E-409C-BE32-E72D297353CC}">
                <c16:uniqueId val="{00000003-5BD0-4C98-AD6F-03AC71EB6A16}"/>
              </c:ext>
            </c:extLst>
          </c:dPt>
          <c:dPt>
            <c:idx val="1"/>
            <c:invertIfNegative val="0"/>
            <c:bubble3D val="0"/>
            <c:extLst>
              <c:ext xmlns:c16="http://schemas.microsoft.com/office/drawing/2014/chart" uri="{C3380CC4-5D6E-409C-BE32-E72D297353CC}">
                <c16:uniqueId val="{00000004-5BD0-4C98-AD6F-03AC71EB6A16}"/>
              </c:ext>
            </c:extLst>
          </c:dPt>
          <c:dLbls>
            <c:dLbl>
              <c:idx val="0"/>
              <c:tx>
                <c:rich>
                  <a:bodyPr/>
                  <a:lstStyle/>
                  <a:p>
                    <a:fld id="{F77BB92E-66EC-4BAA-A1FD-FBC7F1D7FAA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BD0-4C98-AD6F-03AC71EB6A16}"/>
                </c:ext>
              </c:extLst>
            </c:dLbl>
            <c:dLbl>
              <c:idx val="1"/>
              <c:tx>
                <c:rich>
                  <a:bodyPr/>
                  <a:lstStyle/>
                  <a:p>
                    <a:fld id="{EE8E9441-B122-4206-8CE6-53859BEA165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BD0-4C98-AD6F-03AC71EB6A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Report'!$C$41:$C$42</c:f>
              <c:strCache>
                <c:ptCount val="2"/>
                <c:pt idx="0">
                  <c:v>Admitted</c:v>
                </c:pt>
                <c:pt idx="1">
                  <c:v>Not Admitted</c:v>
                </c:pt>
              </c:strCache>
            </c:strRef>
          </c:cat>
          <c:val>
            <c:numRef>
              <c:f>'Pivot Report'!$C$41:$C$42</c:f>
              <c:numCache>
                <c:formatCode>0</c:formatCode>
                <c:ptCount val="2"/>
                <c:pt idx="0">
                  <c:v>217</c:v>
                </c:pt>
                <c:pt idx="1">
                  <c:v>252</c:v>
                </c:pt>
              </c:numCache>
            </c:numRef>
          </c:val>
          <c:extLst>
            <c:ext xmlns:c15="http://schemas.microsoft.com/office/drawing/2012/chart" uri="{02D57815-91ED-43cb-92C2-25804820EDAC}">
              <c15:datalabelsRange>
                <c15:f>'Pivot Report'!$C$41:$C$42</c15:f>
                <c15:dlblRangeCache>
                  <c:ptCount val="2"/>
                  <c:pt idx="0">
                    <c:v>46.27%</c:v>
                  </c:pt>
                  <c:pt idx="1">
                    <c:v>53.73%</c:v>
                  </c:pt>
                </c15:dlblRangeCache>
              </c15:datalabelsRange>
            </c:ext>
            <c:ext xmlns:c16="http://schemas.microsoft.com/office/drawing/2014/chart" uri="{C3380CC4-5D6E-409C-BE32-E72D297353CC}">
              <c16:uniqueId val="{00000000-5BD0-4C98-AD6F-03AC71EB6A16}"/>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0.46268656716417911</c:v>
                </c:pt>
                <c:pt idx="1">
                  <c:v>0.53731343283582089</c:v>
                </c:pt>
              </c:numCache>
            </c:numRef>
          </c:val>
          <c:extLst>
            <c:ext xmlns:c16="http://schemas.microsoft.com/office/drawing/2014/chart" uri="{C3380CC4-5D6E-409C-BE32-E72D297353CC}">
              <c16:uniqueId val="{00000001-5BD0-4C98-AD6F-03AC71EB6A16}"/>
            </c:ext>
          </c:extLst>
        </c:ser>
        <c:dLbls>
          <c:showLegendKey val="0"/>
          <c:showVal val="0"/>
          <c:showCatName val="0"/>
          <c:showSerName val="0"/>
          <c:showPercent val="0"/>
          <c:showBubbleSize val="0"/>
        </c:dLbls>
        <c:gapWidth val="182"/>
        <c:axId val="1492955727"/>
        <c:axId val="1492945647"/>
      </c:barChart>
      <c:catAx>
        <c:axId val="1492955727"/>
        <c:scaling>
          <c:orientation val="minMax"/>
        </c:scaling>
        <c:delete val="1"/>
        <c:axPos val="l"/>
        <c:numFmt formatCode="General" sourceLinked="1"/>
        <c:majorTickMark val="none"/>
        <c:minorTickMark val="none"/>
        <c:tickLblPos val="nextTo"/>
        <c:crossAx val="1492945647"/>
        <c:crosses val="autoZero"/>
        <c:auto val="1"/>
        <c:lblAlgn val="ctr"/>
        <c:lblOffset val="100"/>
        <c:noMultiLvlLbl val="0"/>
      </c:catAx>
      <c:valAx>
        <c:axId val="1492945647"/>
        <c:scaling>
          <c:orientation val="minMax"/>
        </c:scaling>
        <c:delete val="1"/>
        <c:axPos val="b"/>
        <c:numFmt formatCode="0" sourceLinked="1"/>
        <c:majorTickMark val="none"/>
        <c:minorTickMark val="none"/>
        <c:tickLblPos val="nextTo"/>
        <c:crossAx val="149295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Report!PivotTable7</c:name>
    <c:fmtId val="79"/>
  </c:pivotSource>
  <c:chart>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dLbl>
          <c:idx val="0"/>
          <c:layout>
            <c:manualLayout>
              <c:x val="8.6596155771540312E-2"/>
              <c:y val="-7.0223755144205313E-8"/>
            </c:manualLayout>
          </c:layout>
          <c:tx>
            <c:rich>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fld id="{77C47649-6FAD-432B-B886-4BACC373E3E9}" type="CELLRANGE">
                  <a:rPr lang="en-US" sz="700"/>
                  <a:pPr>
                    <a:defRPr sz="500">
                      <a:solidFill>
                        <a:srgbClr val="7030A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2884352973913178"/>
                  <c:h val="0.32187703792093908"/>
                </c:manualLayout>
              </c15:layout>
              <c15:dlblFieldTable/>
              <c15:showDataLabelsRange val="1"/>
            </c:ext>
          </c:extLst>
        </c:dLbl>
      </c:pivotFmt>
      <c:pivotFmt>
        <c:idx val="3"/>
        <c:spPr>
          <a:solidFill>
            <a:schemeClr val="accent2">
              <a:lumMod val="75000"/>
            </a:schemeClr>
          </a:solidFill>
          <a:ln>
            <a:noFill/>
          </a:ln>
          <a:effectLst/>
        </c:spPr>
        <c:dLbl>
          <c:idx val="0"/>
          <c:layout>
            <c:manualLayout>
              <c:x val="8.5420037819879148E-3"/>
              <c:y val="2.465846852974261E-2"/>
            </c:manualLayout>
          </c:layout>
          <c:tx>
            <c:rich>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fld id="{05166E7E-FF35-4AD4-8E44-BCF8F22DBBB4}" type="CELLRANGE">
                  <a:rPr lang="en-US" sz="700"/>
                  <a:pPr>
                    <a:defRPr sz="500">
                      <a:solidFill>
                        <a:srgbClr val="7030A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5307158842792852"/>
                  <c:h val="0.32187704301855224"/>
                </c:manualLayout>
              </c15:layout>
              <c15:dlblFieldTable/>
              <c15:showDataLabelsRange val="1"/>
            </c:ext>
          </c:extLst>
        </c:dLbl>
      </c:pivotFmt>
    </c:pivotFmts>
    <c:plotArea>
      <c:layout>
        <c:manualLayout>
          <c:layoutTarget val="inner"/>
          <c:xMode val="edge"/>
          <c:yMode val="edge"/>
          <c:x val="3.8277898794116402E-2"/>
          <c:y val="0.33641032553216371"/>
          <c:w val="0.73839851071108509"/>
          <c:h val="0.55374164762129408"/>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2">
                <a:lumMod val="75000"/>
              </a:schemeClr>
            </a:solidFill>
            <a:ln>
              <a:noFill/>
            </a:ln>
            <a:effectLst/>
          </c:spPr>
          <c:invertIfNegative val="0"/>
          <c:dLbls>
            <c:dLbl>
              <c:idx val="0"/>
              <c:layout>
                <c:manualLayout>
                  <c:x val="8.6596155771540312E-2"/>
                  <c:y val="-7.0223755144205313E-8"/>
                </c:manualLayout>
              </c:layout>
              <c:tx>
                <c:rich>
                  <a:bodyPr/>
                  <a:lstStyle/>
                  <a:p>
                    <a:fld id="{77C47649-6FAD-432B-B886-4BACC373E3E9}" type="CELLRANGE">
                      <a:rPr lang="en-US" sz="700"/>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2884352973913178"/>
                      <c:h val="0.32187703792093908"/>
                    </c:manualLayout>
                  </c15:layout>
                  <c15:dlblFieldTable/>
                  <c15:showDataLabelsRange val="1"/>
                </c:ext>
                <c:ext xmlns:c16="http://schemas.microsoft.com/office/drawing/2014/chart" uri="{C3380CC4-5D6E-409C-BE32-E72D297353CC}">
                  <c16:uniqueId val="{00000003-316C-4D26-AED3-D6ACED5601AD}"/>
                </c:ext>
              </c:extLst>
            </c:dLbl>
            <c:dLbl>
              <c:idx val="1"/>
              <c:layout>
                <c:manualLayout>
                  <c:x val="8.5420037819879148E-3"/>
                  <c:y val="2.465846852974261E-2"/>
                </c:manualLayout>
              </c:layout>
              <c:tx>
                <c:rich>
                  <a:bodyPr/>
                  <a:lstStyle/>
                  <a:p>
                    <a:fld id="{05166E7E-FF35-4AD4-8E44-BCF8F22DBBB4}" type="CELLRANGE">
                      <a:rPr lang="en-US" sz="700"/>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5307158842792852"/>
                      <c:h val="0.32187704301855224"/>
                    </c:manualLayout>
                  </c15:layout>
                  <c15:dlblFieldTable/>
                  <c15:showDataLabelsRange val="1"/>
                </c:ext>
                <c:ext xmlns:c16="http://schemas.microsoft.com/office/drawing/2014/chart" uri="{C3380CC4-5D6E-409C-BE32-E72D297353CC}">
                  <c16:uniqueId val="{00000004-316C-4D26-AED3-D6ACED5601A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Report'!$C$41:$C$42</c:f>
              <c:strCache>
                <c:ptCount val="2"/>
                <c:pt idx="0">
                  <c:v>Admitted</c:v>
                </c:pt>
                <c:pt idx="1">
                  <c:v>Not Admitted</c:v>
                </c:pt>
              </c:strCache>
            </c:strRef>
          </c:cat>
          <c:val>
            <c:numRef>
              <c:f>'Pivot Report'!$C$41:$C$42</c:f>
              <c:numCache>
                <c:formatCode>0</c:formatCode>
                <c:ptCount val="2"/>
                <c:pt idx="0">
                  <c:v>217</c:v>
                </c:pt>
                <c:pt idx="1">
                  <c:v>252</c:v>
                </c:pt>
              </c:numCache>
            </c:numRef>
          </c:val>
          <c:extLst>
            <c:ext xmlns:c15="http://schemas.microsoft.com/office/drawing/2012/chart" uri="{02D57815-91ED-43cb-92C2-25804820EDAC}">
              <c15:datalabelsRange>
                <c15:f>'Pivot Report'!$C$41:$C$42</c15:f>
                <c15:dlblRangeCache>
                  <c:ptCount val="2"/>
                  <c:pt idx="0">
                    <c:v>46.27%</c:v>
                  </c:pt>
                  <c:pt idx="1">
                    <c:v>53.73%</c:v>
                  </c:pt>
                </c15:dlblRangeCache>
              </c15:datalabelsRange>
            </c:ext>
            <c:ext xmlns:c16="http://schemas.microsoft.com/office/drawing/2014/chart" uri="{C3380CC4-5D6E-409C-BE32-E72D297353CC}">
              <c16:uniqueId val="{00000000-316C-4D26-AED3-D6ACED5601AD}"/>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0.46268656716417911</c:v>
                </c:pt>
                <c:pt idx="1">
                  <c:v>0.53731343283582089</c:v>
                </c:pt>
              </c:numCache>
            </c:numRef>
          </c:val>
          <c:extLst>
            <c:ext xmlns:c16="http://schemas.microsoft.com/office/drawing/2014/chart" uri="{C3380CC4-5D6E-409C-BE32-E72D297353CC}">
              <c16:uniqueId val="{00000001-316C-4D26-AED3-D6ACED5601AD}"/>
            </c:ext>
          </c:extLst>
        </c:ser>
        <c:dLbls>
          <c:showLegendKey val="0"/>
          <c:showVal val="0"/>
          <c:showCatName val="0"/>
          <c:showSerName val="0"/>
          <c:showPercent val="0"/>
          <c:showBubbleSize val="0"/>
        </c:dLbls>
        <c:gapWidth val="90"/>
        <c:axId val="402359552"/>
        <c:axId val="402360512"/>
      </c:barChart>
      <c:catAx>
        <c:axId val="402359552"/>
        <c:scaling>
          <c:orientation val="minMax"/>
        </c:scaling>
        <c:delete val="1"/>
        <c:axPos val="l"/>
        <c:numFmt formatCode="General" sourceLinked="1"/>
        <c:majorTickMark val="none"/>
        <c:minorTickMark val="none"/>
        <c:tickLblPos val="nextTo"/>
        <c:crossAx val="402360512"/>
        <c:crosses val="autoZero"/>
        <c:auto val="1"/>
        <c:lblAlgn val="ctr"/>
        <c:lblOffset val="100"/>
        <c:noMultiLvlLbl val="0"/>
      </c:catAx>
      <c:valAx>
        <c:axId val="402360512"/>
        <c:scaling>
          <c:orientation val="minMax"/>
        </c:scaling>
        <c:delete val="1"/>
        <c:axPos val="b"/>
        <c:numFmt formatCode="0" sourceLinked="1"/>
        <c:majorTickMark val="none"/>
        <c:minorTickMark val="none"/>
        <c:tickLblPos val="nextTo"/>
        <c:crossAx val="40235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Report!PivotTable4</c:name>
    <c:fmtId val="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70638647332479E-3"/>
          <c:y val="0.26767607354468265"/>
          <c:w val="0.99425287356321834"/>
          <c:h val="0.73232392645531741"/>
        </c:manualLayout>
      </c:layout>
      <c:areaChart>
        <c:grouping val="standard"/>
        <c:varyColors val="0"/>
        <c:ser>
          <c:idx val="0"/>
          <c:order val="0"/>
          <c:tx>
            <c:strRef>
              <c:f>'Pivot Report'!$F$4</c:f>
              <c:strCache>
                <c:ptCount val="1"/>
                <c:pt idx="0">
                  <c:v>Total</c:v>
                </c:pt>
              </c:strCache>
            </c:strRef>
          </c:tx>
          <c:spPr>
            <a:solidFill>
              <a:schemeClr val="accent2">
                <a:lumMod val="75000"/>
              </a:schemeClr>
            </a:solidFill>
            <a:ln>
              <a:noFill/>
            </a:ln>
            <a:effectLst/>
          </c:spPr>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89FC-4636-97BA-C7E6EA70095B}"/>
            </c:ext>
          </c:extLst>
        </c:ser>
        <c:dLbls>
          <c:showLegendKey val="0"/>
          <c:showVal val="0"/>
          <c:showCatName val="0"/>
          <c:showSerName val="0"/>
          <c:showPercent val="0"/>
          <c:showBubbleSize val="0"/>
        </c:dLbls>
        <c:axId val="801374335"/>
        <c:axId val="801399295"/>
      </c:areaChart>
      <c:catAx>
        <c:axId val="801374335"/>
        <c:scaling>
          <c:orientation val="minMax"/>
        </c:scaling>
        <c:delete val="1"/>
        <c:axPos val="b"/>
        <c:numFmt formatCode="General" sourceLinked="1"/>
        <c:majorTickMark val="out"/>
        <c:minorTickMark val="none"/>
        <c:tickLblPos val="nextTo"/>
        <c:crossAx val="801399295"/>
        <c:crosses val="autoZero"/>
        <c:auto val="1"/>
        <c:lblAlgn val="ctr"/>
        <c:lblOffset val="100"/>
        <c:noMultiLvlLbl val="0"/>
      </c:catAx>
      <c:valAx>
        <c:axId val="801399295"/>
        <c:scaling>
          <c:orientation val="minMax"/>
        </c:scaling>
        <c:delete val="1"/>
        <c:axPos val="l"/>
        <c:numFmt formatCode="General" sourceLinked="1"/>
        <c:majorTickMark val="none"/>
        <c:minorTickMark val="none"/>
        <c:tickLblPos val="nextTo"/>
        <c:crossAx val="8013743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602854305974542"/>
          <c:w val="0.99999999999999989"/>
          <c:h val="0.84397145694025455"/>
        </c:manualLayout>
      </c:layout>
      <c:areaChart>
        <c:grouping val="standard"/>
        <c:varyColors val="0"/>
        <c:ser>
          <c:idx val="0"/>
          <c:order val="0"/>
          <c:tx>
            <c:strRef>
              <c:f>'Pivot Report'!$L$4</c:f>
              <c:strCache>
                <c:ptCount val="1"/>
                <c:pt idx="0">
                  <c:v>Total</c:v>
                </c:pt>
              </c:strCache>
            </c:strRef>
          </c:tx>
          <c:spPr>
            <a:solidFill>
              <a:schemeClr val="accent2">
                <a:lumMod val="75000"/>
              </a:schemeClr>
            </a:solidFill>
            <a:ln>
              <a:noFill/>
            </a:ln>
            <a:effectLst/>
          </c:spPr>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0732-4067-BA08-0A3FD4D46623}"/>
            </c:ext>
          </c:extLst>
        </c:ser>
        <c:dLbls>
          <c:showLegendKey val="0"/>
          <c:showVal val="0"/>
          <c:showCatName val="0"/>
          <c:showSerName val="0"/>
          <c:showPercent val="0"/>
          <c:showBubbleSize val="0"/>
        </c:dLbls>
        <c:axId val="1492958127"/>
        <c:axId val="1492948527"/>
      </c:areaChart>
      <c:catAx>
        <c:axId val="1492958127"/>
        <c:scaling>
          <c:orientation val="minMax"/>
        </c:scaling>
        <c:delete val="1"/>
        <c:axPos val="b"/>
        <c:numFmt formatCode="General" sourceLinked="1"/>
        <c:majorTickMark val="out"/>
        <c:minorTickMark val="none"/>
        <c:tickLblPos val="nextTo"/>
        <c:crossAx val="1492948527"/>
        <c:crosses val="autoZero"/>
        <c:auto val="1"/>
        <c:lblAlgn val="ctr"/>
        <c:lblOffset val="100"/>
        <c:noMultiLvlLbl val="0"/>
      </c:catAx>
      <c:valAx>
        <c:axId val="1492948527"/>
        <c:scaling>
          <c:orientation val="minMax"/>
        </c:scaling>
        <c:delete val="1"/>
        <c:axPos val="l"/>
        <c:numFmt formatCode="0.00" sourceLinked="1"/>
        <c:majorTickMark val="none"/>
        <c:minorTickMark val="none"/>
        <c:tickLblPos val="nextTo"/>
        <c:crossAx val="14929581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47500849592238E-3"/>
          <c:y val="0.16666666666666666"/>
          <c:w val="0.98929049983008155"/>
          <c:h val="0.83333333333333337"/>
        </c:manualLayout>
      </c:layout>
      <c:areaChart>
        <c:grouping val="standard"/>
        <c:varyColors val="0"/>
        <c:ser>
          <c:idx val="0"/>
          <c:order val="0"/>
          <c:tx>
            <c:strRef>
              <c:f>'Pivot Report'!$R$4</c:f>
              <c:strCache>
                <c:ptCount val="1"/>
                <c:pt idx="0">
                  <c:v>Total</c:v>
                </c:pt>
              </c:strCache>
            </c:strRef>
          </c:tx>
          <c:spPr>
            <a:solidFill>
              <a:schemeClr val="accent2">
                <a:lumMod val="75000"/>
              </a:schemeClr>
            </a:solidFill>
            <a:ln>
              <a:noFill/>
            </a:ln>
            <a:effectLst/>
          </c:spPr>
          <c:cat>
            <c:strRef>
              <c:f>'Pivot Report'!$Q$5:$Q$32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Report'!$R$5:$R$32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3A37-4425-9292-BB02A5C37D49}"/>
            </c:ext>
          </c:extLst>
        </c:ser>
        <c:dLbls>
          <c:showLegendKey val="0"/>
          <c:showVal val="0"/>
          <c:showCatName val="0"/>
          <c:showSerName val="0"/>
          <c:showPercent val="0"/>
          <c:showBubbleSize val="0"/>
        </c:dLbls>
        <c:axId val="801390655"/>
        <c:axId val="801383935"/>
      </c:areaChart>
      <c:catAx>
        <c:axId val="801390655"/>
        <c:scaling>
          <c:orientation val="minMax"/>
        </c:scaling>
        <c:delete val="1"/>
        <c:axPos val="b"/>
        <c:numFmt formatCode="General" sourceLinked="1"/>
        <c:majorTickMark val="out"/>
        <c:minorTickMark val="none"/>
        <c:tickLblPos val="nextTo"/>
        <c:crossAx val="801383935"/>
        <c:crosses val="autoZero"/>
        <c:auto val="1"/>
        <c:lblAlgn val="ctr"/>
        <c:lblOffset val="100"/>
        <c:noMultiLvlLbl val="0"/>
      </c:catAx>
      <c:valAx>
        <c:axId val="801383935"/>
        <c:scaling>
          <c:orientation val="minMax"/>
        </c:scaling>
        <c:delete val="1"/>
        <c:axPos val="l"/>
        <c:numFmt formatCode="0.00" sourceLinked="1"/>
        <c:majorTickMark val="none"/>
        <c:minorTickMark val="none"/>
        <c:tickLblPos val="nextTo"/>
        <c:crossAx val="8013906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579674881375E-2"/>
          <c:y val="0.3098568640208198"/>
          <c:w val="0.91666684065023729"/>
          <c:h val="0.47232063642278344"/>
        </c:manualLayout>
      </c:layout>
      <c:barChart>
        <c:barDir val="col"/>
        <c:grouping val="clustered"/>
        <c:varyColors val="0"/>
        <c:ser>
          <c:idx val="0"/>
          <c:order val="0"/>
          <c:tx>
            <c:strRef>
              <c:f>'Pivot Report'!$B$53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24B5-404C-A5CE-14DB872BE444}"/>
            </c:ext>
          </c:extLst>
        </c:ser>
        <c:dLbls>
          <c:showLegendKey val="0"/>
          <c:showVal val="0"/>
          <c:showCatName val="0"/>
          <c:showSerName val="0"/>
          <c:showPercent val="0"/>
          <c:showBubbleSize val="0"/>
        </c:dLbls>
        <c:gapWidth val="219"/>
        <c:overlap val="-27"/>
        <c:axId val="787866383"/>
        <c:axId val="787855343"/>
      </c:barChart>
      <c:catAx>
        <c:axId val="78786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87855343"/>
        <c:crosses val="autoZero"/>
        <c:auto val="1"/>
        <c:lblAlgn val="ctr"/>
        <c:lblOffset val="100"/>
        <c:noMultiLvlLbl val="0"/>
      </c:catAx>
      <c:valAx>
        <c:axId val="787855343"/>
        <c:scaling>
          <c:orientation val="minMax"/>
        </c:scaling>
        <c:delete val="1"/>
        <c:axPos val="l"/>
        <c:numFmt formatCode="0" sourceLinked="1"/>
        <c:majorTickMark val="none"/>
        <c:minorTickMark val="none"/>
        <c:tickLblPos val="nextTo"/>
        <c:crossAx val="78786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7030A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4373130477652583"/>
                  <c:h val="0.26156752348205609"/>
                </c:manualLayout>
              </c15:layout>
            </c:ext>
          </c:extLst>
        </c:dLbl>
      </c:pivotFmt>
    </c:pivotFmts>
    <c:plotArea>
      <c:layout>
        <c:manualLayout>
          <c:layoutTarget val="inner"/>
          <c:xMode val="edge"/>
          <c:yMode val="edge"/>
          <c:x val="0.12084285922289177"/>
          <c:y val="0.15117293923013581"/>
          <c:w val="0.60599514282667044"/>
          <c:h val="0.81518192999577066"/>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6E3B-4E2A-9AC8-9AFACECFE823}"/>
              </c:ext>
            </c:extLst>
          </c:dPt>
          <c:dPt>
            <c:idx val="1"/>
            <c:bubble3D val="0"/>
            <c:spPr>
              <a:solidFill>
                <a:schemeClr val="accent2"/>
              </a:solidFill>
              <a:ln>
                <a:noFill/>
              </a:ln>
              <a:effectLst/>
            </c:spPr>
            <c:extLst>
              <c:ext xmlns:c16="http://schemas.microsoft.com/office/drawing/2014/chart" uri="{C3380CC4-5D6E-409C-BE32-E72D297353CC}">
                <c16:uniqueId val="{00000003-6E3B-4E2A-9AC8-9AFACECFE823}"/>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7030A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4373130477652583"/>
                      <c:h val="0.26156752348205609"/>
                    </c:manualLayout>
                  </c15:layout>
                </c:ext>
                <c:ext xmlns:c16="http://schemas.microsoft.com/office/drawing/2014/chart" uri="{C3380CC4-5D6E-409C-BE32-E72D297353CC}">
                  <c16:uniqueId val="{00000003-6E3B-4E2A-9AC8-9AFACECFE82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0.00</c:formatCode>
                <c:ptCount val="2"/>
                <c:pt idx="0">
                  <c:v>268</c:v>
                </c:pt>
                <c:pt idx="1">
                  <c:v>201</c:v>
                </c:pt>
              </c:numCache>
            </c:numRef>
          </c:val>
          <c:extLst>
            <c:ext xmlns:c16="http://schemas.microsoft.com/office/drawing/2014/chart" uri="{C3380CC4-5D6E-409C-BE32-E72D297353CC}">
              <c16:uniqueId val="{00000004-6E3B-4E2A-9AC8-9AFACECFE82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7.2247769110397805E-2"/>
          <c:y val="0.14519343095894313"/>
          <c:w val="0.55346957167226163"/>
          <c:h val="0.80764628745108591"/>
        </c:manualLayout>
      </c:layout>
      <c:doughnutChart>
        <c:varyColors val="1"/>
        <c:ser>
          <c:idx val="0"/>
          <c:order val="0"/>
          <c:tx>
            <c:strRef>
              <c:f>'Pivot Report'!$B$75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2B5-4592-B41D-F4EBAAE0EF9B}"/>
              </c:ext>
            </c:extLst>
          </c:dPt>
          <c:dPt>
            <c:idx val="1"/>
            <c:bubble3D val="0"/>
            <c:spPr>
              <a:solidFill>
                <a:schemeClr val="accent2"/>
              </a:solidFill>
              <a:ln>
                <a:noFill/>
              </a:ln>
              <a:effectLst/>
            </c:spPr>
            <c:extLst>
              <c:ext xmlns:c16="http://schemas.microsoft.com/office/drawing/2014/chart" uri="{C3380CC4-5D6E-409C-BE32-E72D297353CC}">
                <c16:uniqueId val="{00000003-D2B5-4592-B41D-F4EBAAE0EF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0.00</c:formatCode>
                <c:ptCount val="2"/>
                <c:pt idx="0">
                  <c:v>241</c:v>
                </c:pt>
                <c:pt idx="1">
                  <c:v>228</c:v>
                </c:pt>
              </c:numCache>
            </c:numRef>
          </c:val>
          <c:extLst>
            <c:ext xmlns:c16="http://schemas.microsoft.com/office/drawing/2014/chart" uri="{C3380CC4-5D6E-409C-BE32-E72D297353CC}">
              <c16:uniqueId val="{00000004-D2B5-4592-B41D-F4EBAAE0EF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993508235146261"/>
          <c:y val="0.49284581659376925"/>
          <c:w val="0.2498867121384814"/>
          <c:h val="0.4356548428003038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77602960095891"/>
          <c:y val="0.14692365580762023"/>
          <c:w val="0.61411287044746998"/>
          <c:h val="0.77815800540146884"/>
        </c:manualLayout>
      </c:layout>
      <c:barChart>
        <c:barDir val="bar"/>
        <c:grouping val="clustered"/>
        <c:varyColors val="0"/>
        <c:ser>
          <c:idx val="0"/>
          <c:order val="0"/>
          <c:tx>
            <c:strRef>
              <c:f>'Pivot Report'!$B$82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Report'!$B$83:$B$91</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3CB6-4A8F-B472-29D9B926EC8D}"/>
            </c:ext>
          </c:extLst>
        </c:ser>
        <c:dLbls>
          <c:showLegendKey val="0"/>
          <c:showVal val="0"/>
          <c:showCatName val="0"/>
          <c:showSerName val="0"/>
          <c:showPercent val="0"/>
          <c:showBubbleSize val="0"/>
        </c:dLbls>
        <c:gapWidth val="182"/>
        <c:axId val="1576679647"/>
        <c:axId val="1576689247"/>
      </c:barChart>
      <c:catAx>
        <c:axId val="157667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576689247"/>
        <c:crosses val="autoZero"/>
        <c:auto val="1"/>
        <c:lblAlgn val="ctr"/>
        <c:lblOffset val="100"/>
        <c:noMultiLvlLbl val="0"/>
      </c:catAx>
      <c:valAx>
        <c:axId val="1576689247"/>
        <c:scaling>
          <c:orientation val="minMax"/>
        </c:scaling>
        <c:delete val="1"/>
        <c:axPos val="b"/>
        <c:numFmt formatCode="0" sourceLinked="1"/>
        <c:majorTickMark val="none"/>
        <c:minorTickMark val="none"/>
        <c:tickLblPos val="nextTo"/>
        <c:crossAx val="157667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28647459099075E-2"/>
          <c:y val="0.1688270494306281"/>
          <c:w val="0.93810186959355113"/>
          <c:h val="0.65024701694424414"/>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A6CE-4841-B6CE-C619BBDF419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92964367"/>
        <c:axId val="1492957647"/>
      </c:areaChart>
      <c:catAx>
        <c:axId val="14929643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92957647"/>
        <c:crosses val="autoZero"/>
        <c:auto val="1"/>
        <c:lblAlgn val="ctr"/>
        <c:lblOffset val="100"/>
        <c:noMultiLvlLbl val="0"/>
      </c:catAx>
      <c:valAx>
        <c:axId val="1492957647"/>
        <c:scaling>
          <c:orientation val="minMax"/>
        </c:scaling>
        <c:delete val="1"/>
        <c:axPos val="l"/>
        <c:numFmt formatCode="General" sourceLinked="1"/>
        <c:majorTickMark val="out"/>
        <c:minorTickMark val="none"/>
        <c:tickLblPos val="nextTo"/>
        <c:crossAx val="14929643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43004937004841E-2"/>
          <c:y val="0.17946629237246314"/>
          <c:w val="0.93191646394699079"/>
          <c:h val="0.66498119129328881"/>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2BFC-4BA5-826B-3D2D78993F3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1382975"/>
        <c:axId val="801384895"/>
      </c:areaChart>
      <c:catAx>
        <c:axId val="8013829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1384895"/>
        <c:crosses val="autoZero"/>
        <c:auto val="1"/>
        <c:lblAlgn val="ctr"/>
        <c:lblOffset val="100"/>
        <c:noMultiLvlLbl val="0"/>
      </c:catAx>
      <c:valAx>
        <c:axId val="801384895"/>
        <c:scaling>
          <c:orientation val="minMax"/>
        </c:scaling>
        <c:delete val="1"/>
        <c:axPos val="l"/>
        <c:numFmt formatCode="0.00" sourceLinked="1"/>
        <c:majorTickMark val="out"/>
        <c:minorTickMark val="none"/>
        <c:tickLblPos val="nextTo"/>
        <c:crossAx val="801382975"/>
        <c:crosses val="autoZero"/>
        <c:crossBetween val="midCat"/>
      </c:valAx>
      <c:spPr>
        <a:solidFill>
          <a:schemeClr val="accent2">
            <a:lumMod val="75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49609196490681E-2"/>
          <c:y val="0.17079210266826131"/>
          <c:w val="0.93726274150318167"/>
          <c:h val="0.65200482042918384"/>
        </c:manualLayout>
      </c:layout>
      <c:areaChart>
        <c:grouping val="standard"/>
        <c:varyColors val="0"/>
        <c:ser>
          <c:idx val="0"/>
          <c:order val="0"/>
          <c:tx>
            <c:strRef>
              <c:f>'Pivot Report'!$R$4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Report'!$Q$5:$Q$32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Report'!$R$5:$R$32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4858-4212-957C-4848AF14A3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1383455"/>
        <c:axId val="801387295"/>
      </c:areaChart>
      <c:catAx>
        <c:axId val="8013834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1387295"/>
        <c:crosses val="autoZero"/>
        <c:auto val="1"/>
        <c:lblAlgn val="ctr"/>
        <c:lblOffset val="100"/>
        <c:noMultiLvlLbl val="0"/>
      </c:catAx>
      <c:valAx>
        <c:axId val="801387295"/>
        <c:scaling>
          <c:orientation val="minMax"/>
        </c:scaling>
        <c:delete val="1"/>
        <c:axPos val="l"/>
        <c:numFmt formatCode="0.00" sourceLinked="1"/>
        <c:majorTickMark val="out"/>
        <c:minorTickMark val="none"/>
        <c:tickLblPos val="nextTo"/>
        <c:crossAx val="801383455"/>
        <c:crosses val="autoZero"/>
        <c:crossBetween val="midCat"/>
      </c:valAx>
      <c:spPr>
        <a:solidFill>
          <a:schemeClr val="accent2">
            <a:lumMod val="75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hyperlink" Target="#'Avg Wait Time Trend'!A1"/><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hyperlink" Target="#'Daily ER Patient Trend'!A1"/><Relationship Id="rId15" Type="http://schemas.openxmlformats.org/officeDocument/2006/relationships/image" Target="../media/image5.emf"/><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hyperlink" Target="#'Patient Satisfaction Score'!A1"/><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122968</xdr:colOff>
      <xdr:row>35</xdr:row>
      <xdr:rowOff>94593</xdr:rowOff>
    </xdr:from>
    <xdr:to>
      <xdr:col>0</xdr:col>
      <xdr:colOff>346841</xdr:colOff>
      <xdr:row>35</xdr:row>
      <xdr:rowOff>141891</xdr:rowOff>
    </xdr:to>
    <xdr:graphicFrame macro="">
      <xdr:nvGraphicFramePr>
        <xdr:cNvPr id="10" name="Chart 9">
          <a:extLst>
            <a:ext uri="{FF2B5EF4-FFF2-40B4-BE49-F238E27FC236}">
              <a16:creationId xmlns:a16="http://schemas.microsoft.com/office/drawing/2014/main" id="{584964D0-50A8-C725-3670-4C3BC8783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10513</xdr:colOff>
      <xdr:row>46</xdr:row>
      <xdr:rowOff>26275</xdr:rowOff>
    </xdr:from>
    <xdr:to>
      <xdr:col>3</xdr:col>
      <xdr:colOff>1056290</xdr:colOff>
      <xdr:row>48</xdr:row>
      <xdr:rowOff>162910</xdr:rowOff>
    </xdr:to>
    <xdr:graphicFrame macro="">
      <xdr:nvGraphicFramePr>
        <xdr:cNvPr id="2" name="Chart 1">
          <a:extLst>
            <a:ext uri="{FF2B5EF4-FFF2-40B4-BE49-F238E27FC236}">
              <a16:creationId xmlns:a16="http://schemas.microsoft.com/office/drawing/2014/main" id="{BBC7360F-F6E8-65C6-37B6-4A4221C14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52389</xdr:colOff>
      <xdr:row>0</xdr:row>
      <xdr:rowOff>42863</xdr:rowOff>
    </xdr:from>
    <xdr:to>
      <xdr:col>5</xdr:col>
      <xdr:colOff>542925</xdr:colOff>
      <xdr:row>2</xdr:row>
      <xdr:rowOff>71438</xdr:rowOff>
    </xdr:to>
    <xdr:sp macro="" textlink="">
      <xdr:nvSpPr>
        <xdr:cNvPr id="2" name="Rectangle: Rounded Corners 1">
          <a:extLst>
            <a:ext uri="{FF2B5EF4-FFF2-40B4-BE49-F238E27FC236}">
              <a16:creationId xmlns:a16="http://schemas.microsoft.com/office/drawing/2014/main" id="{41DC8E1B-E079-EC4B-A4E1-C92E28AC3543}"/>
            </a:ext>
          </a:extLst>
        </xdr:cNvPr>
        <xdr:cNvSpPr/>
      </xdr:nvSpPr>
      <xdr:spPr>
        <a:xfrm>
          <a:off x="52389" y="42863"/>
          <a:ext cx="3538536" cy="390525"/>
        </a:xfrm>
        <a:prstGeom prst="roundRect">
          <a:avLst>
            <a:gd name="adj" fmla="val 10569"/>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576263</xdr:colOff>
      <xdr:row>0</xdr:row>
      <xdr:rowOff>42863</xdr:rowOff>
    </xdr:from>
    <xdr:to>
      <xdr:col>7</xdr:col>
      <xdr:colOff>500064</xdr:colOff>
      <xdr:row>2</xdr:row>
      <xdr:rowOff>71438</xdr:rowOff>
    </xdr:to>
    <xdr:sp macro="" textlink="">
      <xdr:nvSpPr>
        <xdr:cNvPr id="7" name="Rectangle: Rounded Corners 6">
          <a:extLst>
            <a:ext uri="{FF2B5EF4-FFF2-40B4-BE49-F238E27FC236}">
              <a16:creationId xmlns:a16="http://schemas.microsoft.com/office/drawing/2014/main" id="{9E9E98BB-475A-36E4-3830-7EA7F99B7AF3}"/>
            </a:ext>
          </a:extLst>
        </xdr:cNvPr>
        <xdr:cNvSpPr/>
      </xdr:nvSpPr>
      <xdr:spPr>
        <a:xfrm>
          <a:off x="3624263" y="42863"/>
          <a:ext cx="1143001" cy="390525"/>
        </a:xfrm>
        <a:prstGeom prst="roundRect">
          <a:avLst>
            <a:gd name="adj" fmla="val 10569"/>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171447</xdr:colOff>
      <xdr:row>10</xdr:row>
      <xdr:rowOff>71438</xdr:rowOff>
    </xdr:from>
    <xdr:to>
      <xdr:col>4</xdr:col>
      <xdr:colOff>176213</xdr:colOff>
      <xdr:row>17</xdr:row>
      <xdr:rowOff>171450</xdr:rowOff>
    </xdr:to>
    <xdr:sp macro="" textlink="">
      <xdr:nvSpPr>
        <xdr:cNvPr id="8" name="Rectangle: Rounded Corners 7">
          <a:extLst>
            <a:ext uri="{FF2B5EF4-FFF2-40B4-BE49-F238E27FC236}">
              <a16:creationId xmlns:a16="http://schemas.microsoft.com/office/drawing/2014/main" id="{49745A1C-184A-B9BD-6142-3F7A64207BBA}"/>
            </a:ext>
          </a:extLst>
        </xdr:cNvPr>
        <xdr:cNvSpPr/>
      </xdr:nvSpPr>
      <xdr:spPr>
        <a:xfrm>
          <a:off x="781047" y="1881188"/>
          <a:ext cx="1833566" cy="1366837"/>
        </a:xfrm>
        <a:prstGeom prst="roundRect">
          <a:avLst>
            <a:gd name="adj" fmla="val 3632"/>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204771</xdr:colOff>
      <xdr:row>10</xdr:row>
      <xdr:rowOff>76201</xdr:rowOff>
    </xdr:from>
    <xdr:to>
      <xdr:col>7</xdr:col>
      <xdr:colOff>342883</xdr:colOff>
      <xdr:row>17</xdr:row>
      <xdr:rowOff>166688</xdr:rowOff>
    </xdr:to>
    <xdr:sp macro="" textlink="">
      <xdr:nvSpPr>
        <xdr:cNvPr id="9" name="Rectangle: Rounded Corners 8">
          <a:extLst>
            <a:ext uri="{FF2B5EF4-FFF2-40B4-BE49-F238E27FC236}">
              <a16:creationId xmlns:a16="http://schemas.microsoft.com/office/drawing/2014/main" id="{C898E092-BEA8-78F7-3468-34B6A66AEEBE}"/>
            </a:ext>
          </a:extLst>
        </xdr:cNvPr>
        <xdr:cNvSpPr/>
      </xdr:nvSpPr>
      <xdr:spPr>
        <a:xfrm>
          <a:off x="2643171" y="1885951"/>
          <a:ext cx="1966912" cy="1357312"/>
        </a:xfrm>
        <a:prstGeom prst="roundRect">
          <a:avLst>
            <a:gd name="adj" fmla="val 2953"/>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52388</xdr:colOff>
      <xdr:row>2</xdr:row>
      <xdr:rowOff>119063</xdr:rowOff>
    </xdr:from>
    <xdr:to>
      <xdr:col>1</xdr:col>
      <xdr:colOff>119063</xdr:colOff>
      <xdr:row>17</xdr:row>
      <xdr:rowOff>166689</xdr:rowOff>
    </xdr:to>
    <xdr:sp macro="" textlink="">
      <xdr:nvSpPr>
        <xdr:cNvPr id="10" name="Rectangle: Rounded Corners 9">
          <a:extLst>
            <a:ext uri="{FF2B5EF4-FFF2-40B4-BE49-F238E27FC236}">
              <a16:creationId xmlns:a16="http://schemas.microsoft.com/office/drawing/2014/main" id="{071C45BF-7B66-0B2D-7CDD-9C2D7ED1B254}"/>
            </a:ext>
          </a:extLst>
        </xdr:cNvPr>
        <xdr:cNvSpPr/>
      </xdr:nvSpPr>
      <xdr:spPr>
        <a:xfrm>
          <a:off x="52388" y="481013"/>
          <a:ext cx="676275" cy="2762251"/>
        </a:xfrm>
        <a:prstGeom prst="roundRect">
          <a:avLst>
            <a:gd name="adj" fmla="val 6344"/>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166683</xdr:colOff>
      <xdr:row>2</xdr:row>
      <xdr:rowOff>105162</xdr:rowOff>
    </xdr:from>
    <xdr:to>
      <xdr:col>3</xdr:col>
      <xdr:colOff>250309</xdr:colOff>
      <xdr:row>6</xdr:row>
      <xdr:rowOff>138112</xdr:rowOff>
    </xdr:to>
    <xdr:sp macro="" textlink="">
      <xdr:nvSpPr>
        <xdr:cNvPr id="11" name="Rectangle: Rounded Corners 10">
          <a:extLst>
            <a:ext uri="{FF2B5EF4-FFF2-40B4-BE49-F238E27FC236}">
              <a16:creationId xmlns:a16="http://schemas.microsoft.com/office/drawing/2014/main" id="{37CB0AC5-50C4-4D68-2F26-4BDBD9C512EC}"/>
            </a:ext>
          </a:extLst>
        </xdr:cNvPr>
        <xdr:cNvSpPr/>
      </xdr:nvSpPr>
      <xdr:spPr>
        <a:xfrm>
          <a:off x="776283" y="467112"/>
          <a:ext cx="1302826" cy="756850"/>
        </a:xfrm>
        <a:prstGeom prst="roundRect">
          <a:avLst>
            <a:gd name="adj" fmla="val 4548"/>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294008</xdr:colOff>
      <xdr:row>2</xdr:row>
      <xdr:rowOff>100013</xdr:rowOff>
    </xdr:from>
    <xdr:to>
      <xdr:col>5</xdr:col>
      <xdr:colOff>377634</xdr:colOff>
      <xdr:row>6</xdr:row>
      <xdr:rowOff>132963</xdr:rowOff>
    </xdr:to>
    <xdr:sp macro="" textlink="">
      <xdr:nvSpPr>
        <xdr:cNvPr id="12" name="Rectangle: Rounded Corners 11">
          <a:extLst>
            <a:ext uri="{FF2B5EF4-FFF2-40B4-BE49-F238E27FC236}">
              <a16:creationId xmlns:a16="http://schemas.microsoft.com/office/drawing/2014/main" id="{B51A68EB-29E9-BD82-212B-5C3501980090}"/>
            </a:ext>
          </a:extLst>
        </xdr:cNvPr>
        <xdr:cNvSpPr/>
      </xdr:nvSpPr>
      <xdr:spPr>
        <a:xfrm>
          <a:off x="2122808" y="461963"/>
          <a:ext cx="1302826" cy="756850"/>
        </a:xfrm>
        <a:prstGeom prst="roundRect">
          <a:avLst>
            <a:gd name="adj" fmla="val 4446"/>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421199</xdr:colOff>
      <xdr:row>2</xdr:row>
      <xdr:rowOff>100013</xdr:rowOff>
    </xdr:from>
    <xdr:to>
      <xdr:col>7</xdr:col>
      <xdr:colOff>504825</xdr:colOff>
      <xdr:row>6</xdr:row>
      <xdr:rowOff>132963</xdr:rowOff>
    </xdr:to>
    <xdr:sp macro="" textlink="">
      <xdr:nvSpPr>
        <xdr:cNvPr id="13" name="Rectangle: Rounded Corners 12">
          <a:extLst>
            <a:ext uri="{FF2B5EF4-FFF2-40B4-BE49-F238E27FC236}">
              <a16:creationId xmlns:a16="http://schemas.microsoft.com/office/drawing/2014/main" id="{DCD9709D-CD1B-2178-4EF7-734EF98A809C}"/>
            </a:ext>
          </a:extLst>
        </xdr:cNvPr>
        <xdr:cNvSpPr/>
      </xdr:nvSpPr>
      <xdr:spPr>
        <a:xfrm>
          <a:off x="3469199" y="461963"/>
          <a:ext cx="1302826" cy="756850"/>
        </a:xfrm>
        <a:prstGeom prst="roundRect">
          <a:avLst>
            <a:gd name="adj" fmla="val 4447"/>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166680</xdr:colOff>
      <xdr:row>6</xdr:row>
      <xdr:rowOff>176214</xdr:rowOff>
    </xdr:from>
    <xdr:to>
      <xdr:col>7</xdr:col>
      <xdr:colOff>509587</xdr:colOff>
      <xdr:row>10</xdr:row>
      <xdr:rowOff>33337</xdr:rowOff>
    </xdr:to>
    <xdr:sp macro="" textlink="">
      <xdr:nvSpPr>
        <xdr:cNvPr id="15" name="Rectangle: Rounded Corners 14">
          <a:extLst>
            <a:ext uri="{FF2B5EF4-FFF2-40B4-BE49-F238E27FC236}">
              <a16:creationId xmlns:a16="http://schemas.microsoft.com/office/drawing/2014/main" id="{486EFFD7-48E9-C882-F5C1-8D6848C20D13}"/>
            </a:ext>
          </a:extLst>
        </xdr:cNvPr>
        <xdr:cNvSpPr/>
      </xdr:nvSpPr>
      <xdr:spPr>
        <a:xfrm>
          <a:off x="776280" y="1262064"/>
          <a:ext cx="4000507" cy="581023"/>
        </a:xfrm>
        <a:prstGeom prst="roundRect">
          <a:avLst>
            <a:gd name="adj" fmla="val 6470"/>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390526</xdr:colOff>
      <xdr:row>10</xdr:row>
      <xdr:rowOff>76200</xdr:rowOff>
    </xdr:from>
    <xdr:to>
      <xdr:col>13</xdr:col>
      <xdr:colOff>104775</xdr:colOff>
      <xdr:row>17</xdr:row>
      <xdr:rowOff>171450</xdr:rowOff>
    </xdr:to>
    <xdr:sp macro="" textlink="">
      <xdr:nvSpPr>
        <xdr:cNvPr id="16" name="Rectangle: Rounded Corners 15">
          <a:extLst>
            <a:ext uri="{FF2B5EF4-FFF2-40B4-BE49-F238E27FC236}">
              <a16:creationId xmlns:a16="http://schemas.microsoft.com/office/drawing/2014/main" id="{6DAA5293-7789-9774-6945-5F03729B6F19}"/>
            </a:ext>
          </a:extLst>
        </xdr:cNvPr>
        <xdr:cNvSpPr/>
      </xdr:nvSpPr>
      <xdr:spPr>
        <a:xfrm>
          <a:off x="4657726" y="1885950"/>
          <a:ext cx="3371849" cy="1362075"/>
        </a:xfrm>
        <a:prstGeom prst="roundRect">
          <a:avLst>
            <a:gd name="adj" fmla="val 2046"/>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532698</xdr:colOff>
      <xdr:row>0</xdr:row>
      <xdr:rowOff>42865</xdr:rowOff>
    </xdr:from>
    <xdr:to>
      <xdr:col>13</xdr:col>
      <xdr:colOff>95269</xdr:colOff>
      <xdr:row>10</xdr:row>
      <xdr:rowOff>19050</xdr:rowOff>
    </xdr:to>
    <xdr:sp macro="" textlink="">
      <xdr:nvSpPr>
        <xdr:cNvPr id="17" name="Rectangle: Rounded Corners 16">
          <a:extLst>
            <a:ext uri="{FF2B5EF4-FFF2-40B4-BE49-F238E27FC236}">
              <a16:creationId xmlns:a16="http://schemas.microsoft.com/office/drawing/2014/main" id="{7B508B45-DCC9-AA4A-7C03-1E3C87A1245A}"/>
            </a:ext>
          </a:extLst>
        </xdr:cNvPr>
        <xdr:cNvSpPr/>
      </xdr:nvSpPr>
      <xdr:spPr>
        <a:xfrm>
          <a:off x="4799898" y="42865"/>
          <a:ext cx="3220171" cy="1785935"/>
        </a:xfrm>
        <a:prstGeom prst="roundRect">
          <a:avLst>
            <a:gd name="adj" fmla="val 2046"/>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47625</xdr:colOff>
      <xdr:row>0</xdr:row>
      <xdr:rowOff>61912</xdr:rowOff>
    </xdr:from>
    <xdr:to>
      <xdr:col>5</xdr:col>
      <xdr:colOff>495300</xdr:colOff>
      <xdr:row>1</xdr:row>
      <xdr:rowOff>66675</xdr:rowOff>
    </xdr:to>
    <xdr:sp macro="" textlink="">
      <xdr:nvSpPr>
        <xdr:cNvPr id="19" name="TextBox 18">
          <a:extLst>
            <a:ext uri="{FF2B5EF4-FFF2-40B4-BE49-F238E27FC236}">
              <a16:creationId xmlns:a16="http://schemas.microsoft.com/office/drawing/2014/main" id="{197CA224-0F03-EFC6-34F5-8B504B870D18}"/>
            </a:ext>
          </a:extLst>
        </xdr:cNvPr>
        <xdr:cNvSpPr txBox="1"/>
      </xdr:nvSpPr>
      <xdr:spPr>
        <a:xfrm>
          <a:off x="657225" y="61912"/>
          <a:ext cx="2886075" cy="185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1100" b="1">
              <a:solidFill>
                <a:srgbClr val="C00000"/>
              </a:solidFill>
              <a:latin typeface="Aptos" panose="020B0004020202020204" pitchFamily="34" charset="0"/>
            </a:rPr>
            <a:t>HOSPITAL</a:t>
          </a:r>
          <a:r>
            <a:rPr lang="en-IN" sz="1100" b="1" baseline="0">
              <a:solidFill>
                <a:srgbClr val="C00000"/>
              </a:solidFill>
              <a:latin typeface="Aptos" panose="020B0004020202020204" pitchFamily="34" charset="0"/>
            </a:rPr>
            <a:t> EMERGENCY ROOM DASHBOARD</a:t>
          </a:r>
          <a:endParaRPr lang="en-IN" sz="1200" b="1">
            <a:solidFill>
              <a:srgbClr val="C00000"/>
            </a:solidFill>
            <a:latin typeface="Aptos" panose="020B0004020202020204" pitchFamily="34" charset="0"/>
          </a:endParaRPr>
        </a:p>
      </xdr:txBody>
    </xdr:sp>
    <xdr:clientData/>
  </xdr:twoCellAnchor>
  <xdr:twoCellAnchor editAs="absolute">
    <xdr:from>
      <xdr:col>2</xdr:col>
      <xdr:colOff>366713</xdr:colOff>
      <xdr:row>1</xdr:row>
      <xdr:rowOff>66676</xdr:rowOff>
    </xdr:from>
    <xdr:to>
      <xdr:col>4</xdr:col>
      <xdr:colOff>214313</xdr:colOff>
      <xdr:row>2</xdr:row>
      <xdr:rowOff>42865</xdr:rowOff>
    </xdr:to>
    <xdr:sp macro="" textlink="">
      <xdr:nvSpPr>
        <xdr:cNvPr id="24" name="TextBox 23">
          <a:extLst>
            <a:ext uri="{FF2B5EF4-FFF2-40B4-BE49-F238E27FC236}">
              <a16:creationId xmlns:a16="http://schemas.microsoft.com/office/drawing/2014/main" id="{0B06A0FB-F05B-0260-19DC-90859F536E37}"/>
            </a:ext>
          </a:extLst>
        </xdr:cNvPr>
        <xdr:cNvSpPr txBox="1"/>
      </xdr:nvSpPr>
      <xdr:spPr>
        <a:xfrm>
          <a:off x="1585913" y="247651"/>
          <a:ext cx="1066800" cy="157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a:t>
          </a:r>
          <a:r>
            <a:rPr lang="en-IN" sz="900" b="1" baseline="0">
              <a:solidFill>
                <a:srgbClr val="C00000"/>
              </a:solidFill>
              <a:latin typeface="Aptos" panose="020B0004020202020204" pitchFamily="34" charset="0"/>
            </a:rPr>
            <a:t> </a:t>
          </a:r>
          <a:r>
            <a:rPr lang="en-IN" sz="1000" b="1" baseline="0">
              <a:solidFill>
                <a:srgbClr val="FFC000"/>
              </a:solidFill>
              <a:latin typeface="Aptos" panose="020B0004020202020204" pitchFamily="34" charset="0"/>
            </a:rPr>
            <a:t>Monthly Report</a:t>
          </a:r>
          <a:endParaRPr lang="en-IN" sz="1000" b="1">
            <a:solidFill>
              <a:srgbClr val="FFC000"/>
            </a:solidFill>
            <a:latin typeface="Aptos" panose="020B0004020202020204" pitchFamily="34" charset="0"/>
          </a:endParaRPr>
        </a:p>
      </xdr:txBody>
    </xdr:sp>
    <xdr:clientData/>
  </xdr:twoCellAnchor>
  <xdr:twoCellAnchor editAs="oneCell">
    <xdr:from>
      <xdr:col>0</xdr:col>
      <xdr:colOff>208938</xdr:colOff>
      <xdr:row>0</xdr:row>
      <xdr:rowOff>71438</xdr:rowOff>
    </xdr:from>
    <xdr:to>
      <xdr:col>0</xdr:col>
      <xdr:colOff>542923</xdr:colOff>
      <xdr:row>2</xdr:row>
      <xdr:rowOff>43473</xdr:rowOff>
    </xdr:to>
    <xdr:pic>
      <xdr:nvPicPr>
        <xdr:cNvPr id="26" name="Picture 25">
          <a:extLst>
            <a:ext uri="{FF2B5EF4-FFF2-40B4-BE49-F238E27FC236}">
              <a16:creationId xmlns:a16="http://schemas.microsoft.com/office/drawing/2014/main" id="{3B0D293D-DD6C-9985-4A90-85A139713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938" y="71438"/>
          <a:ext cx="333985" cy="333985"/>
        </a:xfrm>
        <a:prstGeom prst="rect">
          <a:avLst/>
        </a:prstGeom>
      </xdr:spPr>
    </xdr:pic>
    <xdr:clientData/>
  </xdr:twoCellAnchor>
  <xdr:twoCellAnchor editAs="absolute">
    <xdr:from>
      <xdr:col>1</xdr:col>
      <xdr:colOff>180976</xdr:colOff>
      <xdr:row>4</xdr:row>
      <xdr:rowOff>38101</xdr:rowOff>
    </xdr:from>
    <xdr:to>
      <xdr:col>3</xdr:col>
      <xdr:colOff>238125</xdr:colOff>
      <xdr:row>5</xdr:row>
      <xdr:rowOff>14288</xdr:rowOff>
    </xdr:to>
    <xdr:sp macro="" textlink="">
      <xdr:nvSpPr>
        <xdr:cNvPr id="29" name="TextBox 28">
          <a:extLst>
            <a:ext uri="{FF2B5EF4-FFF2-40B4-BE49-F238E27FC236}">
              <a16:creationId xmlns:a16="http://schemas.microsoft.com/office/drawing/2014/main" id="{6F147ADD-26CB-D041-A6AD-C8DE9909082C}"/>
            </a:ext>
          </a:extLst>
        </xdr:cNvPr>
        <xdr:cNvSpPr txBox="1"/>
      </xdr:nvSpPr>
      <xdr:spPr>
        <a:xfrm>
          <a:off x="790576" y="762001"/>
          <a:ext cx="1276349" cy="15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a:t>
          </a:r>
          <a:r>
            <a:rPr lang="en-IN" sz="900" b="1" baseline="0">
              <a:solidFill>
                <a:srgbClr val="C00000"/>
              </a:solidFill>
              <a:latin typeface="Aptos" panose="020B0004020202020204" pitchFamily="34" charset="0"/>
            </a:rPr>
            <a:t> </a:t>
          </a:r>
          <a:r>
            <a:rPr lang="en-IN" sz="1000" b="0" baseline="0">
              <a:solidFill>
                <a:schemeClr val="tx1"/>
              </a:solidFill>
              <a:latin typeface="Aptos" panose="020B0004020202020204" pitchFamily="34" charset="0"/>
            </a:rPr>
            <a:t>        </a:t>
          </a:r>
          <a:r>
            <a:rPr lang="en-IN" sz="1000" b="0" baseline="0">
              <a:solidFill>
                <a:srgbClr val="7030A0"/>
              </a:solidFill>
              <a:latin typeface="Aptos" panose="020B0004020202020204" pitchFamily="34" charset="0"/>
            </a:rPr>
            <a:t>No. of Patients</a:t>
          </a:r>
          <a:endParaRPr lang="en-IN" sz="1000" b="0">
            <a:solidFill>
              <a:srgbClr val="7030A0"/>
            </a:solidFill>
            <a:latin typeface="Aptos" panose="020B0004020202020204" pitchFamily="34" charset="0"/>
          </a:endParaRPr>
        </a:p>
      </xdr:txBody>
    </xdr:sp>
    <xdr:clientData/>
  </xdr:twoCellAnchor>
  <xdr:twoCellAnchor editAs="absolute">
    <xdr:from>
      <xdr:col>1</xdr:col>
      <xdr:colOff>547688</xdr:colOff>
      <xdr:row>3</xdr:row>
      <xdr:rowOff>61913</xdr:rowOff>
    </xdr:from>
    <xdr:to>
      <xdr:col>2</xdr:col>
      <xdr:colOff>502152</xdr:colOff>
      <xdr:row>4</xdr:row>
      <xdr:rowOff>18097</xdr:rowOff>
    </xdr:to>
    <xdr:sp macro="" textlink="'Pivot Report'!A5">
      <xdr:nvSpPr>
        <xdr:cNvPr id="30" name="TextBox 29">
          <a:extLst>
            <a:ext uri="{FF2B5EF4-FFF2-40B4-BE49-F238E27FC236}">
              <a16:creationId xmlns:a16="http://schemas.microsoft.com/office/drawing/2014/main" id="{A22C892F-7A67-12EF-FEA5-AE00E7A7F304}"/>
            </a:ext>
          </a:extLst>
        </xdr:cNvPr>
        <xdr:cNvSpPr txBox="1"/>
      </xdr:nvSpPr>
      <xdr:spPr>
        <a:xfrm>
          <a:off x="1157288" y="604838"/>
          <a:ext cx="564064" cy="137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0" i="0" u="none" strike="noStrike">
              <a:solidFill>
                <a:srgbClr val="000000"/>
              </a:solidFill>
              <a:latin typeface="Calibri"/>
              <a:cs typeface="Calibri"/>
            </a:rPr>
            <a:t>     </a:t>
          </a:r>
          <a:fld id="{A1D01A53-94A9-4B70-86F4-05D32CB20562}" type="TxLink">
            <a:rPr lang="en-US" sz="1000" b="0" i="0" u="none" strike="noStrike">
              <a:solidFill>
                <a:srgbClr val="7030A0"/>
              </a:solidFill>
              <a:latin typeface="Aptos" panose="020B0004020202020204" pitchFamily="34" charset="0"/>
              <a:cs typeface="Calibri"/>
            </a:rPr>
            <a:pPr/>
            <a:t>1024</a:t>
          </a:fld>
          <a:endParaRPr lang="en-IN" sz="1000" b="0">
            <a:solidFill>
              <a:srgbClr val="7030A0"/>
            </a:solidFill>
            <a:latin typeface="Aptos" panose="020B0004020202020204" pitchFamily="34" charset="0"/>
          </a:endParaRPr>
        </a:p>
      </xdr:txBody>
    </xdr:sp>
    <xdr:clientData/>
  </xdr:twoCellAnchor>
  <xdr:twoCellAnchor editAs="absolute">
    <xdr:from>
      <xdr:col>3</xdr:col>
      <xdr:colOff>304801</xdr:colOff>
      <xdr:row>4</xdr:row>
      <xdr:rowOff>38101</xdr:rowOff>
    </xdr:from>
    <xdr:to>
      <xdr:col>5</xdr:col>
      <xdr:colOff>361950</xdr:colOff>
      <xdr:row>5</xdr:row>
      <xdr:rowOff>14288</xdr:rowOff>
    </xdr:to>
    <xdr:sp macro="" textlink="">
      <xdr:nvSpPr>
        <xdr:cNvPr id="31" name="TextBox 30">
          <a:extLst>
            <a:ext uri="{FF2B5EF4-FFF2-40B4-BE49-F238E27FC236}">
              <a16:creationId xmlns:a16="http://schemas.microsoft.com/office/drawing/2014/main" id="{0A6A378A-9BB4-FF77-C708-A672040C774D}"/>
            </a:ext>
          </a:extLst>
        </xdr:cNvPr>
        <xdr:cNvSpPr txBox="1"/>
      </xdr:nvSpPr>
      <xdr:spPr>
        <a:xfrm>
          <a:off x="2133601" y="762001"/>
          <a:ext cx="1276349" cy="15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a:t>
          </a:r>
          <a:r>
            <a:rPr lang="en-IN" sz="900" b="1" baseline="0">
              <a:solidFill>
                <a:srgbClr val="C00000"/>
              </a:solidFill>
              <a:latin typeface="Aptos" panose="020B0004020202020204" pitchFamily="34" charset="0"/>
            </a:rPr>
            <a:t> </a:t>
          </a:r>
          <a:r>
            <a:rPr lang="en-IN" sz="1000" b="0" baseline="0">
              <a:solidFill>
                <a:schemeClr val="tx1"/>
              </a:solidFill>
              <a:latin typeface="Aptos" panose="020B0004020202020204" pitchFamily="34" charset="0"/>
            </a:rPr>
            <a:t>   </a:t>
          </a:r>
          <a:r>
            <a:rPr lang="en-IN" sz="1000" b="0" baseline="0">
              <a:solidFill>
                <a:srgbClr val="7030A0"/>
              </a:solidFill>
              <a:latin typeface="Aptos" panose="020B0004020202020204" pitchFamily="34" charset="0"/>
            </a:rPr>
            <a:t>Average Wait Time</a:t>
          </a:r>
          <a:endParaRPr lang="en-IN" sz="1000" b="0">
            <a:solidFill>
              <a:srgbClr val="7030A0"/>
            </a:solidFill>
            <a:latin typeface="Aptos" panose="020B0004020202020204" pitchFamily="34" charset="0"/>
          </a:endParaRPr>
        </a:p>
      </xdr:txBody>
    </xdr:sp>
    <xdr:clientData/>
  </xdr:twoCellAnchor>
  <xdr:twoCellAnchor editAs="absolute">
    <xdr:from>
      <xdr:col>4</xdr:col>
      <xdr:colOff>61913</xdr:colOff>
      <xdr:row>3</xdr:row>
      <xdr:rowOff>61913</xdr:rowOff>
    </xdr:from>
    <xdr:to>
      <xdr:col>5</xdr:col>
      <xdr:colOff>16377</xdr:colOff>
      <xdr:row>4</xdr:row>
      <xdr:rowOff>18097</xdr:rowOff>
    </xdr:to>
    <xdr:sp macro="" textlink="'Pivot Report'!A11">
      <xdr:nvSpPr>
        <xdr:cNvPr id="32" name="TextBox 31">
          <a:extLst>
            <a:ext uri="{FF2B5EF4-FFF2-40B4-BE49-F238E27FC236}">
              <a16:creationId xmlns:a16="http://schemas.microsoft.com/office/drawing/2014/main" id="{AB99EB5D-AA21-8D32-D21F-7D1A5BBEEDF9}"/>
            </a:ext>
          </a:extLst>
        </xdr:cNvPr>
        <xdr:cNvSpPr txBox="1"/>
      </xdr:nvSpPr>
      <xdr:spPr>
        <a:xfrm>
          <a:off x="2500313" y="604838"/>
          <a:ext cx="564064" cy="137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US" sz="1100" b="0" i="0" u="none" strike="noStrike">
              <a:solidFill>
                <a:srgbClr val="000000"/>
              </a:solidFill>
              <a:latin typeface="Calibri"/>
              <a:cs typeface="Calibri"/>
            </a:rPr>
            <a:t>    </a:t>
          </a:r>
          <a:fld id="{7BB8678C-4C2D-4A97-A05C-DEAAC54F1815}" type="TxLink">
            <a:rPr lang="en-US" sz="1000" b="0" i="0" u="none" strike="noStrike">
              <a:solidFill>
                <a:srgbClr val="7030A0"/>
              </a:solidFill>
              <a:latin typeface="Aptos" panose="020B0004020202020204" pitchFamily="34" charset="0"/>
              <a:cs typeface="Calibri"/>
            </a:rPr>
            <a:pPr algn="l"/>
            <a:t>35.73</a:t>
          </a:fld>
          <a:endParaRPr lang="en-IN" sz="1000" b="0">
            <a:solidFill>
              <a:srgbClr val="7030A0"/>
            </a:solidFill>
            <a:latin typeface="Aptos" panose="020B0004020202020204" pitchFamily="34" charset="0"/>
          </a:endParaRPr>
        </a:p>
      </xdr:txBody>
    </xdr:sp>
    <xdr:clientData/>
  </xdr:twoCellAnchor>
  <xdr:twoCellAnchor editAs="absolute">
    <xdr:from>
      <xdr:col>5</xdr:col>
      <xdr:colOff>428626</xdr:colOff>
      <xdr:row>4</xdr:row>
      <xdr:rowOff>38101</xdr:rowOff>
    </xdr:from>
    <xdr:to>
      <xdr:col>7</xdr:col>
      <xdr:colOff>485775</xdr:colOff>
      <xdr:row>5</xdr:row>
      <xdr:rowOff>14288</xdr:rowOff>
    </xdr:to>
    <xdr:sp macro="" textlink="">
      <xdr:nvSpPr>
        <xdr:cNvPr id="33" name="TextBox 32">
          <a:extLst>
            <a:ext uri="{FF2B5EF4-FFF2-40B4-BE49-F238E27FC236}">
              <a16:creationId xmlns:a16="http://schemas.microsoft.com/office/drawing/2014/main" id="{5D9E9C17-7D68-25F6-A43C-7068FD230D7B}"/>
            </a:ext>
          </a:extLst>
        </xdr:cNvPr>
        <xdr:cNvSpPr txBox="1"/>
      </xdr:nvSpPr>
      <xdr:spPr>
        <a:xfrm>
          <a:off x="3476626" y="762001"/>
          <a:ext cx="1276349" cy="15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a:t>
          </a:r>
          <a:r>
            <a:rPr lang="en-IN" sz="900" b="1" baseline="0">
              <a:solidFill>
                <a:srgbClr val="C00000"/>
              </a:solidFill>
              <a:latin typeface="Aptos" panose="020B0004020202020204" pitchFamily="34" charset="0"/>
            </a:rPr>
            <a:t> </a:t>
          </a:r>
          <a:r>
            <a:rPr lang="en-IN" sz="1000" b="0" baseline="0">
              <a:solidFill>
                <a:schemeClr val="tx1"/>
              </a:solidFill>
              <a:latin typeface="Aptos" panose="020B0004020202020204" pitchFamily="34" charset="0"/>
            </a:rPr>
            <a:t>    </a:t>
          </a:r>
          <a:r>
            <a:rPr lang="en-IN" sz="1000" b="0" baseline="0">
              <a:solidFill>
                <a:srgbClr val="7030A0"/>
              </a:solidFill>
              <a:latin typeface="Aptos" panose="020B0004020202020204" pitchFamily="34" charset="0"/>
            </a:rPr>
            <a:t>Satisfaction Score</a:t>
          </a:r>
          <a:endParaRPr lang="en-IN" sz="1000" b="0">
            <a:solidFill>
              <a:srgbClr val="7030A0"/>
            </a:solidFill>
            <a:latin typeface="Aptos" panose="020B0004020202020204" pitchFamily="34" charset="0"/>
          </a:endParaRPr>
        </a:p>
      </xdr:txBody>
    </xdr:sp>
    <xdr:clientData/>
  </xdr:twoCellAnchor>
  <xdr:twoCellAnchor editAs="absolute">
    <xdr:from>
      <xdr:col>6</xdr:col>
      <xdr:colOff>185738</xdr:colOff>
      <xdr:row>3</xdr:row>
      <xdr:rowOff>61913</xdr:rowOff>
    </xdr:from>
    <xdr:to>
      <xdr:col>7</xdr:col>
      <xdr:colOff>140202</xdr:colOff>
      <xdr:row>4</xdr:row>
      <xdr:rowOff>18097</xdr:rowOff>
    </xdr:to>
    <xdr:sp macro="" textlink="'Pivot Report'!A17">
      <xdr:nvSpPr>
        <xdr:cNvPr id="34" name="TextBox 33">
          <a:extLst>
            <a:ext uri="{FF2B5EF4-FFF2-40B4-BE49-F238E27FC236}">
              <a16:creationId xmlns:a16="http://schemas.microsoft.com/office/drawing/2014/main" id="{62CC10C8-EBF8-649E-C34E-35ED0B6C4B94}"/>
            </a:ext>
          </a:extLst>
        </xdr:cNvPr>
        <xdr:cNvSpPr txBox="1"/>
      </xdr:nvSpPr>
      <xdr:spPr>
        <a:xfrm>
          <a:off x="3843338" y="604838"/>
          <a:ext cx="564064" cy="137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0" i="0" u="none" strike="noStrike">
              <a:solidFill>
                <a:srgbClr val="000000"/>
              </a:solidFill>
              <a:latin typeface="Calibri"/>
              <a:cs typeface="Calibri"/>
            </a:rPr>
            <a:t>     </a:t>
          </a:r>
          <a:fld id="{8C63FE9F-777F-4AE4-98A0-F8D95F515D76}" type="TxLink">
            <a:rPr lang="en-US" sz="1000" b="0" i="0" u="none" strike="noStrike">
              <a:solidFill>
                <a:srgbClr val="7030A0"/>
              </a:solidFill>
              <a:latin typeface="Aptos" panose="020B0004020202020204" pitchFamily="34" charset="0"/>
              <a:cs typeface="Calibri"/>
            </a:rPr>
            <a:pPr/>
            <a:t>5.12</a:t>
          </a:fld>
          <a:endParaRPr lang="en-US" sz="1000" b="0" i="0" u="none" strike="noStrike">
            <a:solidFill>
              <a:srgbClr val="7030A0"/>
            </a:solidFill>
            <a:latin typeface="Aptos" panose="020B0004020202020204" pitchFamily="34" charset="0"/>
            <a:cs typeface="Calibri"/>
          </a:endParaRPr>
        </a:p>
      </xdr:txBody>
    </xdr:sp>
    <xdr:clientData/>
  </xdr:twoCellAnchor>
  <xdr:twoCellAnchor editAs="oneCell">
    <xdr:from>
      <xdr:col>3</xdr:col>
      <xdr:colOff>28576</xdr:colOff>
      <xdr:row>2</xdr:row>
      <xdr:rowOff>157162</xdr:rowOff>
    </xdr:from>
    <xdr:to>
      <xdr:col>3</xdr:col>
      <xdr:colOff>204178</xdr:colOff>
      <xdr:row>3</xdr:row>
      <xdr:rowOff>151789</xdr:rowOff>
    </xdr:to>
    <xdr:pic>
      <xdr:nvPicPr>
        <xdr:cNvPr id="36" name="Picture 35">
          <a:extLst>
            <a:ext uri="{FF2B5EF4-FFF2-40B4-BE49-F238E27FC236}">
              <a16:creationId xmlns:a16="http://schemas.microsoft.com/office/drawing/2014/main" id="{754057F0-4DBA-E1D2-239F-553E7EB613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57376" y="519112"/>
          <a:ext cx="175602" cy="175602"/>
        </a:xfrm>
        <a:prstGeom prst="rect">
          <a:avLst/>
        </a:prstGeom>
      </xdr:spPr>
    </xdr:pic>
    <xdr:clientData/>
  </xdr:twoCellAnchor>
  <xdr:twoCellAnchor editAs="oneCell">
    <xdr:from>
      <xdr:col>7</xdr:col>
      <xdr:colOff>330974</xdr:colOff>
      <xdr:row>2</xdr:row>
      <xdr:rowOff>172185</xdr:rowOff>
    </xdr:from>
    <xdr:to>
      <xdr:col>7</xdr:col>
      <xdr:colOff>466725</xdr:colOff>
      <xdr:row>3</xdr:row>
      <xdr:rowOff>126961</xdr:rowOff>
    </xdr:to>
    <xdr:pic>
      <xdr:nvPicPr>
        <xdr:cNvPr id="38" name="Picture 37">
          <a:extLst>
            <a:ext uri="{FF2B5EF4-FFF2-40B4-BE49-F238E27FC236}">
              <a16:creationId xmlns:a16="http://schemas.microsoft.com/office/drawing/2014/main" id="{0AD87A76-08CB-1ADD-F11F-4192186EC8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98174" y="534135"/>
          <a:ext cx="135751" cy="135751"/>
        </a:xfrm>
        <a:prstGeom prst="rect">
          <a:avLst/>
        </a:prstGeom>
      </xdr:spPr>
    </xdr:pic>
    <xdr:clientData/>
  </xdr:twoCellAnchor>
  <xdr:twoCellAnchor editAs="oneCell">
    <xdr:from>
      <xdr:col>5</xdr:col>
      <xdr:colOff>166651</xdr:colOff>
      <xdr:row>3</xdr:row>
      <xdr:rowOff>5370</xdr:rowOff>
    </xdr:from>
    <xdr:to>
      <xdr:col>5</xdr:col>
      <xdr:colOff>323851</xdr:colOff>
      <xdr:row>3</xdr:row>
      <xdr:rowOff>162570</xdr:rowOff>
    </xdr:to>
    <xdr:pic>
      <xdr:nvPicPr>
        <xdr:cNvPr id="40" name="Picture 39">
          <a:extLst>
            <a:ext uri="{FF2B5EF4-FFF2-40B4-BE49-F238E27FC236}">
              <a16:creationId xmlns:a16="http://schemas.microsoft.com/office/drawing/2014/main" id="{32785EAD-AE8F-828D-200F-C75391A605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14651" y="548295"/>
          <a:ext cx="157200" cy="157200"/>
        </a:xfrm>
        <a:prstGeom prst="rect">
          <a:avLst/>
        </a:prstGeom>
      </xdr:spPr>
    </xdr:pic>
    <xdr:clientData/>
  </xdr:twoCellAnchor>
  <xdr:twoCellAnchor editAs="oneCell">
    <xdr:from>
      <xdr:col>0</xdr:col>
      <xdr:colOff>61897</xdr:colOff>
      <xdr:row>2</xdr:row>
      <xdr:rowOff>142874</xdr:rowOff>
    </xdr:from>
    <xdr:to>
      <xdr:col>1</xdr:col>
      <xdr:colOff>99997</xdr:colOff>
      <xdr:row>17</xdr:row>
      <xdr:rowOff>157161</xdr:rowOff>
    </xdr:to>
    <mc:AlternateContent xmlns:mc="http://schemas.openxmlformats.org/markup-compatibility/2006">
      <mc:Choice xmlns:a14="http://schemas.microsoft.com/office/drawing/2010/main" Requires="a14">
        <xdr:graphicFrame macro="">
          <xdr:nvGraphicFramePr>
            <xdr:cNvPr id="42" name="Date (Month)">
              <a:extLst>
                <a:ext uri="{FF2B5EF4-FFF2-40B4-BE49-F238E27FC236}">
                  <a16:creationId xmlns:a16="http://schemas.microsoft.com/office/drawing/2014/main" id="{16A41470-CB5F-4517-B630-6112AB5A338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61897" y="504824"/>
              <a:ext cx="647700" cy="2728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176213</xdr:colOff>
      <xdr:row>5</xdr:row>
      <xdr:rowOff>61913</xdr:rowOff>
    </xdr:from>
    <xdr:to>
      <xdr:col>3</xdr:col>
      <xdr:colOff>242889</xdr:colOff>
      <xdr:row>6</xdr:row>
      <xdr:rowOff>142874</xdr:rowOff>
    </xdr:to>
    <xdr:graphicFrame macro="">
      <xdr:nvGraphicFramePr>
        <xdr:cNvPr id="43" name="Chart 42">
          <a:hlinkClick xmlns:r="http://schemas.openxmlformats.org/officeDocument/2006/relationships" r:id="rId5"/>
          <a:extLst>
            <a:ext uri="{FF2B5EF4-FFF2-40B4-BE49-F238E27FC236}">
              <a16:creationId xmlns:a16="http://schemas.microsoft.com/office/drawing/2014/main" id="{C4B6A24C-C9E7-4032-83F0-35A79361C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304801</xdr:colOff>
      <xdr:row>5</xdr:row>
      <xdr:rowOff>52388</xdr:rowOff>
    </xdr:from>
    <xdr:to>
      <xdr:col>5</xdr:col>
      <xdr:colOff>376238</xdr:colOff>
      <xdr:row>6</xdr:row>
      <xdr:rowOff>142873</xdr:rowOff>
    </xdr:to>
    <xdr:graphicFrame macro="">
      <xdr:nvGraphicFramePr>
        <xdr:cNvPr id="44" name="Chart 43">
          <a:hlinkClick xmlns:r="http://schemas.openxmlformats.org/officeDocument/2006/relationships" r:id="rId7"/>
          <a:extLst>
            <a:ext uri="{FF2B5EF4-FFF2-40B4-BE49-F238E27FC236}">
              <a16:creationId xmlns:a16="http://schemas.microsoft.com/office/drawing/2014/main" id="{880FDC89-8F5D-425F-9A92-6BA9D2EE6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423862</xdr:colOff>
      <xdr:row>5</xdr:row>
      <xdr:rowOff>47624</xdr:rowOff>
    </xdr:from>
    <xdr:to>
      <xdr:col>7</xdr:col>
      <xdr:colOff>509588</xdr:colOff>
      <xdr:row>6</xdr:row>
      <xdr:rowOff>142874</xdr:rowOff>
    </xdr:to>
    <xdr:graphicFrame macro="">
      <xdr:nvGraphicFramePr>
        <xdr:cNvPr id="45" name="Chart 44">
          <a:hlinkClick xmlns:r="http://schemas.openxmlformats.org/officeDocument/2006/relationships" r:id="rId9"/>
          <a:extLst>
            <a:ext uri="{FF2B5EF4-FFF2-40B4-BE49-F238E27FC236}">
              <a16:creationId xmlns:a16="http://schemas.microsoft.com/office/drawing/2014/main" id="{1378BB68-32B2-4544-B1F8-C527953CD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404806</xdr:colOff>
      <xdr:row>10</xdr:row>
      <xdr:rowOff>80971</xdr:rowOff>
    </xdr:from>
    <xdr:to>
      <xdr:col>13</xdr:col>
      <xdr:colOff>100013</xdr:colOff>
      <xdr:row>17</xdr:row>
      <xdr:rowOff>166706</xdr:rowOff>
    </xdr:to>
    <xdr:graphicFrame macro="">
      <xdr:nvGraphicFramePr>
        <xdr:cNvPr id="46" name="Chart 45">
          <a:extLst>
            <a:ext uri="{FF2B5EF4-FFF2-40B4-BE49-F238E27FC236}">
              <a16:creationId xmlns:a16="http://schemas.microsoft.com/office/drawing/2014/main" id="{292F4E7A-556A-44EA-8AE8-3070EB470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180977</xdr:colOff>
      <xdr:row>10</xdr:row>
      <xdr:rowOff>80965</xdr:rowOff>
    </xdr:from>
    <xdr:to>
      <xdr:col>4</xdr:col>
      <xdr:colOff>152401</xdr:colOff>
      <xdr:row>17</xdr:row>
      <xdr:rowOff>152402</xdr:rowOff>
    </xdr:to>
    <xdr:graphicFrame macro="">
      <xdr:nvGraphicFramePr>
        <xdr:cNvPr id="47" name="Chart 46">
          <a:extLst>
            <a:ext uri="{FF2B5EF4-FFF2-40B4-BE49-F238E27FC236}">
              <a16:creationId xmlns:a16="http://schemas.microsoft.com/office/drawing/2014/main" id="{16266686-79A5-4496-88CF-00161009F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204772</xdr:colOff>
      <xdr:row>10</xdr:row>
      <xdr:rowOff>80964</xdr:rowOff>
    </xdr:from>
    <xdr:to>
      <xdr:col>7</xdr:col>
      <xdr:colOff>333375</xdr:colOff>
      <xdr:row>17</xdr:row>
      <xdr:rowOff>155522</xdr:rowOff>
    </xdr:to>
    <xdr:graphicFrame macro="">
      <xdr:nvGraphicFramePr>
        <xdr:cNvPr id="48" name="Chart 47">
          <a:extLst>
            <a:ext uri="{FF2B5EF4-FFF2-40B4-BE49-F238E27FC236}">
              <a16:creationId xmlns:a16="http://schemas.microsoft.com/office/drawing/2014/main" id="{DCE630B2-A279-49FF-8198-0168EA017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571500</xdr:colOff>
      <xdr:row>0</xdr:row>
      <xdr:rowOff>76199</xdr:rowOff>
    </xdr:from>
    <xdr:to>
      <xdr:col>13</xdr:col>
      <xdr:colOff>100013</xdr:colOff>
      <xdr:row>9</xdr:row>
      <xdr:rowOff>176213</xdr:rowOff>
    </xdr:to>
    <xdr:graphicFrame macro="">
      <xdr:nvGraphicFramePr>
        <xdr:cNvPr id="49" name="Chart 48">
          <a:extLst>
            <a:ext uri="{FF2B5EF4-FFF2-40B4-BE49-F238E27FC236}">
              <a16:creationId xmlns:a16="http://schemas.microsoft.com/office/drawing/2014/main" id="{CB76BBB2-D695-4C78-BF56-41B028622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xdr:col>
      <xdr:colOff>223838</xdr:colOff>
      <xdr:row>10</xdr:row>
      <xdr:rowOff>95250</xdr:rowOff>
    </xdr:from>
    <xdr:to>
      <xdr:col>4</xdr:col>
      <xdr:colOff>128587</xdr:colOff>
      <xdr:row>11</xdr:row>
      <xdr:rowOff>76201</xdr:rowOff>
    </xdr:to>
    <xdr:sp macro="" textlink="">
      <xdr:nvSpPr>
        <xdr:cNvPr id="3" name="TextBox 2">
          <a:extLst>
            <a:ext uri="{FF2B5EF4-FFF2-40B4-BE49-F238E27FC236}">
              <a16:creationId xmlns:a16="http://schemas.microsoft.com/office/drawing/2014/main" id="{7BF4B111-B049-3312-9937-75ABEBEEC5D3}"/>
            </a:ext>
          </a:extLst>
        </xdr:cNvPr>
        <xdr:cNvSpPr txBox="1"/>
      </xdr:nvSpPr>
      <xdr:spPr>
        <a:xfrm>
          <a:off x="833438" y="1905000"/>
          <a:ext cx="1733549"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900">
              <a:solidFill>
                <a:srgbClr val="FFC000"/>
              </a:solidFill>
              <a:latin typeface="Aptos" panose="020B0004020202020204" pitchFamily="34" charset="0"/>
            </a:rPr>
            <a:t>Patient Attend Status</a:t>
          </a:r>
        </a:p>
      </xdr:txBody>
    </xdr:sp>
    <xdr:clientData/>
  </xdr:twoCellAnchor>
  <xdr:twoCellAnchor editAs="absolute">
    <xdr:from>
      <xdr:col>4</xdr:col>
      <xdr:colOff>261938</xdr:colOff>
      <xdr:row>10</xdr:row>
      <xdr:rowOff>95250</xdr:rowOff>
    </xdr:from>
    <xdr:to>
      <xdr:col>7</xdr:col>
      <xdr:colOff>166687</xdr:colOff>
      <xdr:row>11</xdr:row>
      <xdr:rowOff>76201</xdr:rowOff>
    </xdr:to>
    <xdr:sp macro="" textlink="">
      <xdr:nvSpPr>
        <xdr:cNvPr id="4" name="TextBox 3">
          <a:extLst>
            <a:ext uri="{FF2B5EF4-FFF2-40B4-BE49-F238E27FC236}">
              <a16:creationId xmlns:a16="http://schemas.microsoft.com/office/drawing/2014/main" id="{7AA04ECE-A5FC-25C1-7EA0-2C6182BFF74B}"/>
            </a:ext>
          </a:extLst>
        </xdr:cNvPr>
        <xdr:cNvSpPr txBox="1"/>
      </xdr:nvSpPr>
      <xdr:spPr>
        <a:xfrm>
          <a:off x="2700338" y="1905000"/>
          <a:ext cx="1733549"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900">
              <a:solidFill>
                <a:srgbClr val="FFC000"/>
              </a:solidFill>
              <a:latin typeface="Aptos" panose="020B0004020202020204" pitchFamily="34" charset="0"/>
            </a:rPr>
            <a:t>Gender</a:t>
          </a:r>
          <a:r>
            <a:rPr lang="en-IN" sz="900" baseline="0">
              <a:solidFill>
                <a:srgbClr val="FFC000"/>
              </a:solidFill>
              <a:latin typeface="Aptos" panose="020B0004020202020204" pitchFamily="34" charset="0"/>
            </a:rPr>
            <a:t> Wise Analysis</a:t>
          </a:r>
          <a:endParaRPr lang="en-IN" sz="900">
            <a:solidFill>
              <a:srgbClr val="FFC000"/>
            </a:solidFill>
            <a:latin typeface="Aptos" panose="020B0004020202020204" pitchFamily="34" charset="0"/>
          </a:endParaRPr>
        </a:p>
      </xdr:txBody>
    </xdr:sp>
    <xdr:clientData/>
  </xdr:twoCellAnchor>
  <xdr:twoCellAnchor editAs="absolute">
    <xdr:from>
      <xdr:col>8</xdr:col>
      <xdr:colOff>152400</xdr:colOff>
      <xdr:row>0</xdr:row>
      <xdr:rowOff>100013</xdr:rowOff>
    </xdr:from>
    <xdr:to>
      <xdr:col>12</xdr:col>
      <xdr:colOff>133350</xdr:colOff>
      <xdr:row>1</xdr:row>
      <xdr:rowOff>80964</xdr:rowOff>
    </xdr:to>
    <xdr:sp macro="" textlink="">
      <xdr:nvSpPr>
        <xdr:cNvPr id="5" name="TextBox 4">
          <a:extLst>
            <a:ext uri="{FF2B5EF4-FFF2-40B4-BE49-F238E27FC236}">
              <a16:creationId xmlns:a16="http://schemas.microsoft.com/office/drawing/2014/main" id="{15F08808-502D-63B4-AA82-035A927CBE8A}"/>
            </a:ext>
          </a:extLst>
        </xdr:cNvPr>
        <xdr:cNvSpPr txBox="1"/>
      </xdr:nvSpPr>
      <xdr:spPr>
        <a:xfrm>
          <a:off x="5029200" y="100013"/>
          <a:ext cx="24193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900" baseline="0">
              <a:solidFill>
                <a:srgbClr val="FFC000"/>
              </a:solidFill>
              <a:latin typeface="Aptos" panose="020B0004020202020204" pitchFamily="34" charset="0"/>
            </a:rPr>
            <a:t>         </a:t>
          </a:r>
          <a:r>
            <a:rPr lang="en-IN" sz="900">
              <a:solidFill>
                <a:srgbClr val="FFC000"/>
              </a:solidFill>
              <a:latin typeface="Aptos" panose="020B0004020202020204" pitchFamily="34" charset="0"/>
            </a:rPr>
            <a:t>No.</a:t>
          </a:r>
          <a:r>
            <a:rPr lang="en-IN" sz="900" baseline="0">
              <a:solidFill>
                <a:srgbClr val="FFC000"/>
              </a:solidFill>
              <a:latin typeface="Aptos" panose="020B0004020202020204" pitchFamily="34" charset="0"/>
            </a:rPr>
            <a:t> of Patient Department Referal</a:t>
          </a:r>
          <a:endParaRPr lang="en-IN" sz="900">
            <a:solidFill>
              <a:srgbClr val="FFC000"/>
            </a:solidFill>
            <a:latin typeface="Aptos" panose="020B0004020202020204" pitchFamily="34" charset="0"/>
          </a:endParaRPr>
        </a:p>
      </xdr:txBody>
    </xdr:sp>
    <xdr:clientData/>
  </xdr:twoCellAnchor>
  <xdr:twoCellAnchor editAs="absolute">
    <xdr:from>
      <xdr:col>7</xdr:col>
      <xdr:colOff>595313</xdr:colOff>
      <xdr:row>10</xdr:row>
      <xdr:rowOff>104776</xdr:rowOff>
    </xdr:from>
    <xdr:to>
      <xdr:col>12</xdr:col>
      <xdr:colOff>261938</xdr:colOff>
      <xdr:row>11</xdr:row>
      <xdr:rowOff>85727</xdr:rowOff>
    </xdr:to>
    <xdr:sp macro="" textlink="">
      <xdr:nvSpPr>
        <xdr:cNvPr id="6" name="TextBox 5">
          <a:extLst>
            <a:ext uri="{FF2B5EF4-FFF2-40B4-BE49-F238E27FC236}">
              <a16:creationId xmlns:a16="http://schemas.microsoft.com/office/drawing/2014/main" id="{63281419-40D3-4ABA-C899-A7A382CCF8FF}"/>
            </a:ext>
          </a:extLst>
        </xdr:cNvPr>
        <xdr:cNvSpPr txBox="1"/>
      </xdr:nvSpPr>
      <xdr:spPr>
        <a:xfrm>
          <a:off x="4862513" y="1914526"/>
          <a:ext cx="2714625"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900" baseline="0">
              <a:solidFill>
                <a:srgbClr val="FFC000"/>
              </a:solidFill>
              <a:latin typeface="Aptos" panose="020B0004020202020204" pitchFamily="34" charset="0"/>
            </a:rPr>
            <a:t>                  </a:t>
          </a:r>
          <a:r>
            <a:rPr lang="en-IN" sz="900">
              <a:solidFill>
                <a:srgbClr val="FFC000"/>
              </a:solidFill>
              <a:latin typeface="Aptos" panose="020B0004020202020204" pitchFamily="34" charset="0"/>
            </a:rPr>
            <a:t>No.</a:t>
          </a:r>
          <a:r>
            <a:rPr lang="en-IN" sz="900" baseline="0">
              <a:solidFill>
                <a:srgbClr val="FFC000"/>
              </a:solidFill>
              <a:latin typeface="Aptos" panose="020B0004020202020204" pitchFamily="34" charset="0"/>
            </a:rPr>
            <a:t> of Patient by Age group</a:t>
          </a:r>
          <a:endParaRPr lang="en-IN" sz="900">
            <a:solidFill>
              <a:srgbClr val="FFC000"/>
            </a:solidFill>
            <a:latin typeface="Aptos" panose="020B00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xdr:col>
          <xdr:colOff>161924</xdr:colOff>
          <xdr:row>6</xdr:row>
          <xdr:rowOff>166688</xdr:rowOff>
        </xdr:from>
        <xdr:to>
          <xdr:col>7</xdr:col>
          <xdr:colOff>509587</xdr:colOff>
          <xdr:row>10</xdr:row>
          <xdr:rowOff>33338</xdr:rowOff>
        </xdr:to>
        <xdr:pic>
          <xdr:nvPicPr>
            <xdr:cNvPr id="18" name="Picture 17">
              <a:extLst>
                <a:ext uri="{FF2B5EF4-FFF2-40B4-BE49-F238E27FC236}">
                  <a16:creationId xmlns:a16="http://schemas.microsoft.com/office/drawing/2014/main" id="{2C34284B-2F2C-F5E1-45C6-631E9641960E}"/>
                </a:ext>
              </a:extLst>
            </xdr:cNvPr>
            <xdr:cNvPicPr>
              <a:picLocks noChangeAspect="1" noChangeArrowheads="1"/>
              <a:extLst>
                <a:ext uri="{84589F7E-364E-4C9E-8A38-B11213B215E9}">
                  <a14:cameraTool cellRange="'Pivot Report'!$A$47:$D$49" spid="_x0000_s2056"/>
                </a:ext>
              </a:extLst>
            </xdr:cNvPicPr>
          </xdr:nvPicPr>
          <xdr:blipFill>
            <a:blip xmlns:r="http://schemas.openxmlformats.org/officeDocument/2006/relationships" r:embed="rId15"/>
            <a:srcRect/>
            <a:stretch>
              <a:fillRect/>
            </a:stretch>
          </xdr:blipFill>
          <xdr:spPr bwMode="auto">
            <a:xfrm>
              <a:off x="771524" y="1252538"/>
              <a:ext cx="4005263" cy="590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5</xdr:col>
      <xdr:colOff>590578</xdr:colOff>
      <xdr:row>0</xdr:row>
      <xdr:rowOff>42862</xdr:rowOff>
    </xdr:from>
    <xdr:to>
      <xdr:col>7</xdr:col>
      <xdr:colOff>500061</xdr:colOff>
      <xdr:row>2</xdr:row>
      <xdr:rowOff>76200</xdr:rowOff>
    </xdr:to>
    <mc:AlternateContent xmlns:mc="http://schemas.openxmlformats.org/markup-compatibility/2006">
      <mc:Choice xmlns:a14="http://schemas.microsoft.com/office/drawing/2010/main" Requires="a14">
        <xdr:graphicFrame macro="">
          <xdr:nvGraphicFramePr>
            <xdr:cNvPr id="20" name="Date (Year)">
              <a:extLst>
                <a:ext uri="{FF2B5EF4-FFF2-40B4-BE49-F238E27FC236}">
                  <a16:creationId xmlns:a16="http://schemas.microsoft.com/office/drawing/2014/main" id="{7DB71C67-6F19-4F1D-909F-80F7A8CC3D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638578" y="42862"/>
              <a:ext cx="1128683" cy="395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52754</xdr:colOff>
      <xdr:row>1</xdr:row>
      <xdr:rowOff>134815</xdr:rowOff>
    </xdr:from>
    <xdr:to>
      <xdr:col>13</xdr:col>
      <xdr:colOff>187569</xdr:colOff>
      <xdr:row>17</xdr:row>
      <xdr:rowOff>123092</xdr:rowOff>
    </xdr:to>
    <xdr:graphicFrame macro="">
      <xdr:nvGraphicFramePr>
        <xdr:cNvPr id="3" name="Chart 2">
          <a:extLst>
            <a:ext uri="{FF2B5EF4-FFF2-40B4-BE49-F238E27FC236}">
              <a16:creationId xmlns:a16="http://schemas.microsoft.com/office/drawing/2014/main" id="{86027913-4241-460F-B1C1-EA64B9F64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82061</xdr:colOff>
      <xdr:row>0</xdr:row>
      <xdr:rowOff>76200</xdr:rowOff>
    </xdr:from>
    <xdr:to>
      <xdr:col>0</xdr:col>
      <xdr:colOff>315913</xdr:colOff>
      <xdr:row>1</xdr:row>
      <xdr:rowOff>128344</xdr:rowOff>
    </xdr:to>
    <xdr:pic>
      <xdr:nvPicPr>
        <xdr:cNvPr id="5" name="Picture 4">
          <a:hlinkClick xmlns:r="http://schemas.openxmlformats.org/officeDocument/2006/relationships" r:id="rId2"/>
          <a:extLst>
            <a:ext uri="{FF2B5EF4-FFF2-40B4-BE49-F238E27FC236}">
              <a16:creationId xmlns:a16="http://schemas.microsoft.com/office/drawing/2014/main" id="{620FEEAB-BC2A-CF9A-45B6-23B26C33A5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061" y="76200"/>
          <a:ext cx="233852" cy="233852"/>
        </a:xfrm>
        <a:prstGeom prst="rect">
          <a:avLst/>
        </a:prstGeom>
      </xdr:spPr>
    </xdr:pic>
    <xdr:clientData/>
  </xdr:twoCellAnchor>
  <xdr:twoCellAnchor>
    <xdr:from>
      <xdr:col>2</xdr:col>
      <xdr:colOff>134815</xdr:colOff>
      <xdr:row>18</xdr:row>
      <xdr:rowOff>117231</xdr:rowOff>
    </xdr:from>
    <xdr:to>
      <xdr:col>11</xdr:col>
      <xdr:colOff>76200</xdr:colOff>
      <xdr:row>20</xdr:row>
      <xdr:rowOff>29308</xdr:rowOff>
    </xdr:to>
    <xdr:sp macro="" textlink="">
      <xdr:nvSpPr>
        <xdr:cNvPr id="2" name="TextBox 1">
          <a:extLst>
            <a:ext uri="{FF2B5EF4-FFF2-40B4-BE49-F238E27FC236}">
              <a16:creationId xmlns:a16="http://schemas.microsoft.com/office/drawing/2014/main" id="{C8E0A54B-4E1C-C8AD-2CA1-6F914F8BCD34}"/>
            </a:ext>
          </a:extLst>
        </xdr:cNvPr>
        <xdr:cNvSpPr txBox="1"/>
      </xdr:nvSpPr>
      <xdr:spPr>
        <a:xfrm>
          <a:off x="1354015" y="3387969"/>
          <a:ext cx="5427785" cy="275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solidFill>
                <a:schemeClr val="tx1"/>
              </a:solidFill>
              <a:effectLst/>
              <a:latin typeface="Aptos" panose="020B0004020202020204" pitchFamily="34" charset="0"/>
            </a:rPr>
            <a:t>Showing a daily trend with an area sparkline to spot patterns like busy days or seasonal trends</a:t>
          </a:r>
          <a:endParaRPr lang="en-IN" sz="1000">
            <a:solidFill>
              <a:schemeClr val="tx1"/>
            </a:solidFill>
            <a:effectLst/>
            <a:latin typeface="Aptos"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574431</xdr:colOff>
      <xdr:row>1</xdr:row>
      <xdr:rowOff>140676</xdr:rowOff>
    </xdr:from>
    <xdr:to>
      <xdr:col>13</xdr:col>
      <xdr:colOff>375138</xdr:colOff>
      <xdr:row>17</xdr:row>
      <xdr:rowOff>70338</xdr:rowOff>
    </xdr:to>
    <xdr:graphicFrame macro="">
      <xdr:nvGraphicFramePr>
        <xdr:cNvPr id="2" name="Chart 1">
          <a:extLst>
            <a:ext uri="{FF2B5EF4-FFF2-40B4-BE49-F238E27FC236}">
              <a16:creationId xmlns:a16="http://schemas.microsoft.com/office/drawing/2014/main" id="{41810F79-17E4-4EF8-899E-609E51ED1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117230</xdr:colOff>
      <xdr:row>0</xdr:row>
      <xdr:rowOff>99035</xdr:rowOff>
    </xdr:from>
    <xdr:to>
      <xdr:col>0</xdr:col>
      <xdr:colOff>310661</xdr:colOff>
      <xdr:row>1</xdr:row>
      <xdr:rowOff>110758</xdr:rowOff>
    </xdr:to>
    <xdr:pic>
      <xdr:nvPicPr>
        <xdr:cNvPr id="4" name="Picture 3">
          <a:hlinkClick xmlns:r="http://schemas.openxmlformats.org/officeDocument/2006/relationships" r:id="rId2"/>
          <a:extLst>
            <a:ext uri="{FF2B5EF4-FFF2-40B4-BE49-F238E27FC236}">
              <a16:creationId xmlns:a16="http://schemas.microsoft.com/office/drawing/2014/main" id="{4D0463E0-F275-5B8F-BB3B-49148F2E8E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30" y="99035"/>
          <a:ext cx="193431" cy="193431"/>
        </a:xfrm>
        <a:prstGeom prst="rect">
          <a:avLst/>
        </a:prstGeom>
      </xdr:spPr>
    </xdr:pic>
    <xdr:clientData/>
  </xdr:twoCellAnchor>
  <xdr:twoCellAnchor>
    <xdr:from>
      <xdr:col>1</xdr:col>
      <xdr:colOff>468923</xdr:colOff>
      <xdr:row>18</xdr:row>
      <xdr:rowOff>93785</xdr:rowOff>
    </xdr:from>
    <xdr:to>
      <xdr:col>12</xdr:col>
      <xdr:colOff>509954</xdr:colOff>
      <xdr:row>19</xdr:row>
      <xdr:rowOff>164123</xdr:rowOff>
    </xdr:to>
    <xdr:sp macro="" textlink="">
      <xdr:nvSpPr>
        <xdr:cNvPr id="3" name="TextBox 2">
          <a:extLst>
            <a:ext uri="{FF2B5EF4-FFF2-40B4-BE49-F238E27FC236}">
              <a16:creationId xmlns:a16="http://schemas.microsoft.com/office/drawing/2014/main" id="{7E3596E1-EA55-2AA6-3D08-B72D793CC30E}"/>
            </a:ext>
          </a:extLst>
        </xdr:cNvPr>
        <xdr:cNvSpPr txBox="1"/>
      </xdr:nvSpPr>
      <xdr:spPr>
        <a:xfrm>
          <a:off x="1078523" y="3364523"/>
          <a:ext cx="6746631" cy="25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solidFill>
                <a:schemeClr val="tx1"/>
              </a:solidFill>
              <a:effectLst/>
              <a:latin typeface="Aptos" panose="020B0004020202020204" pitchFamily="34" charset="0"/>
            </a:rPr>
            <a:t>Showing an area chart to track daily changes and highlight days with longer wait times that might need improvements</a:t>
          </a:r>
          <a:endParaRPr lang="en-IN" sz="1000">
            <a:solidFill>
              <a:schemeClr val="tx1"/>
            </a:solidFill>
            <a:effectLst/>
            <a:latin typeface="Aptos" panose="020B0004020202020204" pitchFamily="34" charset="0"/>
          </a:endParaRPr>
        </a:p>
        <a:p>
          <a:endParaRPr lang="en-IN" sz="1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128953</xdr:colOff>
      <xdr:row>2</xdr:row>
      <xdr:rowOff>5861</xdr:rowOff>
    </xdr:from>
    <xdr:to>
      <xdr:col>13</xdr:col>
      <xdr:colOff>164122</xdr:colOff>
      <xdr:row>17</xdr:row>
      <xdr:rowOff>128954</xdr:rowOff>
    </xdr:to>
    <xdr:graphicFrame macro="">
      <xdr:nvGraphicFramePr>
        <xdr:cNvPr id="2" name="Chart 1">
          <a:extLst>
            <a:ext uri="{FF2B5EF4-FFF2-40B4-BE49-F238E27FC236}">
              <a16:creationId xmlns:a16="http://schemas.microsoft.com/office/drawing/2014/main" id="{A54DAC85-0396-4EEC-B5C1-8BB462CC0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99646</xdr:colOff>
      <xdr:row>0</xdr:row>
      <xdr:rowOff>87313</xdr:rowOff>
    </xdr:from>
    <xdr:to>
      <xdr:col>0</xdr:col>
      <xdr:colOff>304799</xdr:colOff>
      <xdr:row>1</xdr:row>
      <xdr:rowOff>110758</xdr:rowOff>
    </xdr:to>
    <xdr:pic>
      <xdr:nvPicPr>
        <xdr:cNvPr id="4" name="Picture 3">
          <a:hlinkClick xmlns:r="http://schemas.openxmlformats.org/officeDocument/2006/relationships" r:id="rId2"/>
          <a:extLst>
            <a:ext uri="{FF2B5EF4-FFF2-40B4-BE49-F238E27FC236}">
              <a16:creationId xmlns:a16="http://schemas.microsoft.com/office/drawing/2014/main" id="{88A0C7F9-FBB2-8438-3701-17B2ACA0D6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646" y="87313"/>
          <a:ext cx="205153" cy="205153"/>
        </a:xfrm>
        <a:prstGeom prst="rect">
          <a:avLst/>
        </a:prstGeom>
      </xdr:spPr>
    </xdr:pic>
    <xdr:clientData/>
  </xdr:twoCellAnchor>
  <xdr:twoCellAnchor>
    <xdr:from>
      <xdr:col>2</xdr:col>
      <xdr:colOff>76200</xdr:colOff>
      <xdr:row>18</xdr:row>
      <xdr:rowOff>134816</xdr:rowOff>
    </xdr:from>
    <xdr:to>
      <xdr:col>12</xdr:col>
      <xdr:colOff>404446</xdr:colOff>
      <xdr:row>20</xdr:row>
      <xdr:rowOff>11723</xdr:rowOff>
    </xdr:to>
    <xdr:sp macro="" textlink="">
      <xdr:nvSpPr>
        <xdr:cNvPr id="3" name="TextBox 2">
          <a:extLst>
            <a:ext uri="{FF2B5EF4-FFF2-40B4-BE49-F238E27FC236}">
              <a16:creationId xmlns:a16="http://schemas.microsoft.com/office/drawing/2014/main" id="{A6D697EE-D056-AE78-30E9-A38096B78A5C}"/>
            </a:ext>
          </a:extLst>
        </xdr:cNvPr>
        <xdr:cNvSpPr txBox="1"/>
      </xdr:nvSpPr>
      <xdr:spPr>
        <a:xfrm>
          <a:off x="1295400" y="3405554"/>
          <a:ext cx="6424246" cy="240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effectLst/>
              <a:latin typeface="Aptos" panose="020B0004020202020204" pitchFamily="34" charset="0"/>
            </a:rPr>
            <a:t>Showing an area chart to show trends, spot drops in satisfaction, and link them to busy times or challenges</a:t>
          </a:r>
          <a:endParaRPr lang="en-IN" sz="1000">
            <a:effectLst/>
            <a:latin typeface="Aptos" panose="020B0004020202020204" pitchFamily="34" charset="0"/>
          </a:endParaRPr>
        </a:p>
        <a:p>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3425926" createdVersion="5" refreshedVersion="8" minRefreshableVersion="3" recordCount="0" supportSubquery="1" supportAdvancedDrill="1" xr:uid="{8659663F-AF84-48E0-A5C9-6EF2C3A46EDF}">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4004627" createdVersion="5" refreshedVersion="8" minRefreshableVersion="3" recordCount="0" supportSubquery="1" supportAdvancedDrill="1" xr:uid="{BD0FA54C-6AD1-49E5-B458-94089EFD8FC3}">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4467589" createdVersion="5" refreshedVersion="8" minRefreshableVersion="3" recordCount="0" supportSubquery="1" supportAdvancedDrill="1" xr:uid="{2321E72E-6B82-4DCD-AB4B-FFBFB2C6FECF}">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5046297" createdVersion="5" refreshedVersion="8" minRefreshableVersion="3" recordCount="0" supportSubquery="1" supportAdvancedDrill="1" xr:uid="{F6D6AA28-B6FF-4C98-B5A4-D1A9DF84444D}">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5856482" createdVersion="5" refreshedVersion="8" minRefreshableVersion="3" recordCount="0" supportSubquery="1" supportAdvancedDrill="1" xr:uid="{43CDDA9E-8F14-4431-80DC-3CD83F1F2628}">
  <cacheSource type="external" connectionId="3"/>
  <cacheFields count="4">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701389" createdVersion="5" refreshedVersion="8" minRefreshableVersion="3" recordCount="0" supportSubquery="1" supportAdvancedDrill="1" xr:uid="{32F17F37-8564-4A79-9C7A-AAA931670521}">
  <cacheSource type="external" connectionId="3"/>
  <cacheFields count="4">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7939814" createdVersion="5" refreshedVersion="8" minRefreshableVersion="3" recordCount="0" supportSubquery="1" supportAdvancedDrill="1" xr:uid="{DB335447-A580-40B0-9487-9927ABAA3B1B}">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8865738" createdVersion="5" refreshedVersion="8" minRefreshableVersion="3" recordCount="0" supportSubquery="1" supportAdvancedDrill="1" xr:uid="{0020CF73-B29E-4A4C-A4A2-6D9CB1173213}">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69560184" createdVersion="5" refreshedVersion="8" minRefreshableVersion="3" recordCount="0" supportSubquery="1" supportAdvancedDrill="1" xr:uid="{5C9E6F64-FC81-43A6-9AE5-EC27FE882E99}">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70486108" createdVersion="5" refreshedVersion="8" minRefreshableVersion="3" recordCount="0" supportSubquery="1" supportAdvancedDrill="1" xr:uid="{B2268855-54BB-4117-B8E0-77DBB08A8DB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71180555" createdVersion="5" refreshedVersion="8" minRefreshableVersion="3" recordCount="0" supportSubquery="1" supportAdvancedDrill="1" xr:uid="{1229ACA6-C1B3-4D86-85E6-8582E8AABF06}">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757572106479" createdVersion="5" refreshedVersion="8" minRefreshableVersion="3" recordCount="0" supportSubquery="1" supportAdvancedDrill="1" xr:uid="{43B1B1BF-C275-4B45-928D-4D7EDBECD8CA}">
  <cacheSource type="external" connectionId="3"/>
  <cacheFields count="3">
    <cacheField name="[Calender_Table].[Date (Month)].[Date (Month)]" caption="Date (Month)" numFmtId="0" hierarchy="1" level="1">
      <sharedItems containsSemiMixedTypes="0" containsNonDate="0" containsString="0"/>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ABH SUMAN" refreshedDate="45983.66171458333" createdVersion="3" refreshedVersion="8" minRefreshableVersion="3" recordCount="0" supportSubquery="1" supportAdvancedDrill="1" xr:uid="{7FABD2C3-71DD-4B97-9608-01F3424D89B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898200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3A120-D802-467C-BD07-AF08613183FE}" name="PivotTable12" cacheId="610" applyNumberFormats="0" applyBorderFormats="0" applyFontFormats="0" applyPatternFormats="0" applyAlignmentFormats="0" applyWidthHeightFormats="1" dataCaption="Values" tag="48792159-6c46-4fbb-a67a-3fd279f751a5" updatedVersion="8" minRefreshableVersion="3" subtotalHiddenItems="1" itemPrintTitles="1" createdVersion="5" indent="0" outline="1" outlineData="1" multipleFieldFilters="0" chartFormat="3">
  <location ref="A95:A9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s="1" x="0" e="0"/>
      </items>
    </pivotField>
  </pivotFields>
  <rowFields count="2">
    <field x="2"/>
    <field x="1"/>
  </rowFields>
  <rowItems count="2">
    <i>
      <x/>
    </i>
    <i t="grand">
      <x/>
    </i>
  </rowItems>
  <formats count="1">
    <format dxfId="108">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76AFB-4421-4FC7-91E5-66977B599A06}" name="PivotTable3" cacheId="586" applyNumberFormats="0" applyBorderFormats="0" applyFontFormats="0" applyPatternFormats="0" applyAlignmentFormats="0" applyWidthHeightFormats="1" dataCaption="Values" tag="48792159-6c46-4fbb-a67a-3fd279f751a5" updatedVersion="8" minRefreshableVersion="3"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0">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199DB-9D0A-478D-8AAD-DF6CFA853B96}" name="PivotTable7" cacheId="595" applyNumberFormats="0" applyBorderFormats="0" applyFontFormats="0" applyPatternFormats="0" applyAlignmentFormats="0" applyWidthHeightFormats="1" dataCaption="Values" tag="48792159-6c46-4fbb-a67a-3fd279f751a5" updatedVersion="8" minRefreshableVersion="3" itemPrintTitles="1" createdVersion="5" indent="0" outline="1" outlineData="1" multipleFieldFilters="0" chartFormat="80">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12">
      <pivotArea outline="0" collapsedLevelsAreSubtotals="1" fieldPosition="0"/>
    </format>
    <format dxfId="111">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79"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1"/>
          </reference>
        </references>
      </pivotArea>
    </chartFormat>
    <chartFormat chart="79" format="2">
      <pivotArea type="data" outline="0" fieldPosition="0">
        <references count="2">
          <reference field="4294967294" count="1" selected="0">
            <x v="0"/>
          </reference>
          <reference field="2" count="1" selected="0">
            <x v="0"/>
          </reference>
        </references>
      </pivotArea>
    </chartFormat>
    <chartFormat chart="79"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46FCDA-134E-41FE-B22A-B717688F5A1A}" name="PivotTable2" cacheId="583" applyNumberFormats="0" applyBorderFormats="0" applyFontFormats="0" applyPatternFormats="0" applyAlignmentFormats="0" applyWidthHeightFormats="1" dataCaption="Values" tag="b2b09260-f317-43a1-9de2-db3f10f2600f" updatedVersion="8" minRefreshableVersion="3"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3">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5BFAA9-8CB9-48A3-A4C1-25533575A9F5}" name="PivotTable6" cacheId="592" applyNumberFormats="0" applyBorderFormats="0" applyFontFormats="0" applyPatternFormats="0" applyAlignmentFormats="0" applyWidthHeightFormats="1" dataCaption="Values" tag="48792159-6c46-4fbb-a67a-3fd279f751a5" updatedVersion="8" minRefreshableVersion="3" itemPrintTitles="1" createdVersion="5" indent="0" outline="1" outlineData="1" multipleFieldFilters="0" chartFormat="8">
  <location ref="Q4:R32"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0" subtotal="average" baseField="0" baseItem="0"/>
  </dataFields>
  <formats count="1">
    <format dxfId="11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E3BB5E-CCC0-47BB-B543-53DDC24DD946}" name="PivotTable11" cacheId="607" applyNumberFormats="0" applyBorderFormats="0" applyFontFormats="0" applyPatternFormats="0" applyAlignmentFormats="0" applyWidthHeightFormats="1" dataCaption="Values" tag="48792159-6c46-4fbb-a67a-3fd279f751a5" updatedVersion="8" minRefreshableVersion="3" subtotalHiddenItems="1" itemPrintTitles="1" createdVersion="5" indent="0" outline="1" outlineData="1" multipleFieldFilters="0" chartFormat="3">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numFmtId="1"/>
  </dataFields>
  <formats count="1">
    <format dxfId="10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46F22E-A621-44F1-875B-5DB6E6D977A7}" name="PivotTable10" cacheId="604" applyNumberFormats="0" applyBorderFormats="0" applyFontFormats="0" applyPatternFormats="0" applyAlignmentFormats="0" applyWidthHeightFormats="1" dataCaption="Values" tag="48792159-6c46-4fbb-a67a-3fd279f751a5" updatedVersion="8" minRefreshableVersion="3" itemPrintTitles="1" createdVersion="5" indent="0" outline="1" outlineData="1" multipleFieldFilters="0" chartFormat="6">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15">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B222EF-B11A-4F97-AB6E-F4BDF9403F20}" name="PivotTable5" cacheId="589" applyNumberFormats="0" applyBorderFormats="0" applyFontFormats="0" applyPatternFormats="0" applyAlignmentFormats="0" applyWidthHeightFormats="1" dataCaption="Values" tag="b2b09260-f317-43a1-9de2-db3f10f2600f" updatedVersion="8" minRefreshableVersion="3" itemPrintTitles="1" createdVersion="5" indent="0" outline="1" outlineData="1" multipleFieldFilters="0" chartFormat="10">
  <location ref="K4:L35"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0" subtotal="average" baseField="0" baseItem="0" numFmtId="2"/>
  </dataFields>
  <formats count="1">
    <format dxfId="11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91C89E-4EDC-4411-9CC6-255F69035577}" name="PivotTable9" cacheId="601" applyNumberFormats="0" applyBorderFormats="0" applyFontFormats="0" applyPatternFormats="0" applyAlignmentFormats="0" applyWidthHeightFormats="1" dataCaption="Values" tag="48792159-6c46-4fbb-a67a-3fd279f751a5" updatedVersion="8" minRefreshableVersion="3" itemPrintTitles="1" createdVersion="5" indent="0" outline="1" outlineData="1" multipleFieldFilters="0" chartFormat="8">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17">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477E05-1DC6-4743-8228-4FEE0E6F8091}" name="PivotTable4" cacheId="577" applyNumberFormats="0" applyBorderFormats="0" applyFontFormats="0" applyPatternFormats="0" applyAlignmentFormats="0" applyWidthHeightFormats="1" dataCaption="Values" tag="29ceb1ea-9fce-4f99-a312-ba971a5470ec" updatedVersion="8" minRefreshableVersion="3" itemPrintTitles="1" createdVersion="5" indent="0" outline="1" outlineData="1" multipleFieldFilters="0" chartFormat="16">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F6CEDB-0B1D-463F-9285-23CE034F440A}" name="PivotTable1" cacheId="580" applyNumberFormats="0" applyBorderFormats="0" applyFontFormats="0" applyPatternFormats="0" applyAlignmentFormats="0" applyWidthHeightFormats="1" dataCaption="Values" tag="29ceb1ea-9fce-4f99-a312-ba971a5470ec"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CB2FAA-F7F3-4815-AA62-E9737B90BDEE}" name="PivotTable8" cacheId="598" applyNumberFormats="0" applyBorderFormats="0" applyFontFormats="0" applyPatternFormats="0" applyAlignmentFormats="0" applyWidthHeightFormats="1" dataCaption="Values" tag="48792159-6c46-4fbb-a67a-3fd279f751a5" updatedVersion="8" minRefreshableVersion="3" itemPrintTitles="1" createdVersion="5" indent="0" outline="1" outlineData="1" multipleFieldFilters="0" chartFormat="4">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1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E9EC2A4-5671-42AC-B73A-5DA2FAD97F4C}"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68982004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348CAD2-8DAE-48D3-85FC-D6692E825F0E}"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8982004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0910BBE-5DFC-4550-AB4E-DF6C37D8DF06}" cache="Slicer_Date__Month" caption="Date (Month)" showCaption="0" level="1" style="My Style" rowHeight="183600"/>
  <slicer name="Date (Year)" xr10:uid="{EE5DC4CE-A4E6-4B24-9AD5-8AC0F1E4F6E8}" cache="Slicer_Date__Year" caption="Date (Year)" columnCount="2" showCaption="0" level="1" style="Slicer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R97"/>
  <sheetViews>
    <sheetView topLeftCell="A88" zoomScale="145" zoomScaleNormal="145" workbookViewId="0">
      <selection activeCell="A95" sqref="A95"/>
    </sheetView>
  </sheetViews>
  <sheetFormatPr defaultRowHeight="14.4" x14ac:dyDescent="0.3"/>
  <cols>
    <col min="1" max="1" width="15.6640625" customWidth="1"/>
    <col min="2" max="2" width="14.21875" customWidth="1"/>
    <col min="3" max="3" width="11.6640625" customWidth="1"/>
    <col min="4" max="4" width="15.6640625" customWidth="1"/>
    <col min="5" max="5" width="24.109375" bestFit="1" customWidth="1"/>
    <col min="11" max="11" width="15.6640625" customWidth="1"/>
    <col min="17" max="17" width="10.77734375" customWidth="1"/>
  </cols>
  <sheetData>
    <row r="3" spans="1:18" x14ac:dyDescent="0.3">
      <c r="A3" t="s">
        <v>1</v>
      </c>
    </row>
    <row r="4" spans="1:18" x14ac:dyDescent="0.3">
      <c r="A4" t="s">
        <v>0</v>
      </c>
      <c r="E4" s="4" t="s">
        <v>4</v>
      </c>
      <c r="F4" t="s">
        <v>0</v>
      </c>
      <c r="K4" s="4" t="s">
        <v>4</v>
      </c>
      <c r="L4" t="s">
        <v>2</v>
      </c>
      <c r="Q4" s="4" t="s">
        <v>4</v>
      </c>
      <c r="R4" t="s">
        <v>3</v>
      </c>
    </row>
    <row r="5" spans="1:18" x14ac:dyDescent="0.3">
      <c r="A5" s="1">
        <v>469</v>
      </c>
      <c r="E5" s="5" t="s">
        <v>37</v>
      </c>
      <c r="F5" s="1">
        <v>12</v>
      </c>
      <c r="K5" s="5" t="s">
        <v>37</v>
      </c>
      <c r="L5" s="2">
        <v>31.833333333333332</v>
      </c>
      <c r="Q5" s="5" t="s">
        <v>38</v>
      </c>
      <c r="R5" s="2">
        <v>4.5999999999999996</v>
      </c>
    </row>
    <row r="6" spans="1:18" x14ac:dyDescent="0.3">
      <c r="E6" s="5" t="s">
        <v>38</v>
      </c>
      <c r="F6" s="1">
        <v>19</v>
      </c>
      <c r="K6" s="5" t="s">
        <v>38</v>
      </c>
      <c r="L6" s="2">
        <v>39.368421052631582</v>
      </c>
      <c r="Q6" s="5" t="s">
        <v>39</v>
      </c>
      <c r="R6" s="2">
        <v>4.5999999999999996</v>
      </c>
    </row>
    <row r="7" spans="1:18" x14ac:dyDescent="0.3">
      <c r="E7" s="5" t="s">
        <v>39</v>
      </c>
      <c r="F7" s="1">
        <v>17</v>
      </c>
      <c r="K7" s="5" t="s">
        <v>39</v>
      </c>
      <c r="L7" s="2">
        <v>32.352941176470587</v>
      </c>
      <c r="Q7" s="5" t="s">
        <v>40</v>
      </c>
      <c r="R7" s="2">
        <v>5.666666666666667</v>
      </c>
    </row>
    <row r="8" spans="1:18" x14ac:dyDescent="0.3">
      <c r="E8" s="5" t="s">
        <v>40</v>
      </c>
      <c r="F8" s="1">
        <v>20</v>
      </c>
      <c r="K8" s="5" t="s">
        <v>40</v>
      </c>
      <c r="L8" s="2">
        <v>34.049999999999997</v>
      </c>
      <c r="Q8" s="5" t="s">
        <v>41</v>
      </c>
      <c r="R8" s="2">
        <v>3.4</v>
      </c>
    </row>
    <row r="9" spans="1:18" x14ac:dyDescent="0.3">
      <c r="E9" s="5" t="s">
        <v>41</v>
      </c>
      <c r="F9" s="1">
        <v>15</v>
      </c>
      <c r="K9" s="5" t="s">
        <v>41</v>
      </c>
      <c r="L9" s="2">
        <v>31.8</v>
      </c>
      <c r="Q9" s="5" t="s">
        <v>42</v>
      </c>
      <c r="R9" s="2">
        <v>4.333333333333333</v>
      </c>
    </row>
    <row r="10" spans="1:18" x14ac:dyDescent="0.3">
      <c r="A10" t="s">
        <v>2</v>
      </c>
      <c r="E10" s="5" t="s">
        <v>42</v>
      </c>
      <c r="F10" s="1">
        <v>17</v>
      </c>
      <c r="K10" s="5" t="s">
        <v>42</v>
      </c>
      <c r="L10" s="2">
        <v>37.823529411764703</v>
      </c>
      <c r="Q10" s="5" t="s">
        <v>43</v>
      </c>
      <c r="R10" s="2">
        <v>4.4000000000000004</v>
      </c>
    </row>
    <row r="11" spans="1:18" x14ac:dyDescent="0.3">
      <c r="A11" s="2">
        <v>35.044776119402982</v>
      </c>
      <c r="E11" s="5" t="s">
        <v>43</v>
      </c>
      <c r="F11" s="1">
        <v>16</v>
      </c>
      <c r="K11" s="5" t="s">
        <v>43</v>
      </c>
      <c r="L11" s="2">
        <v>31.875</v>
      </c>
      <c r="Q11" s="5" t="s">
        <v>44</v>
      </c>
      <c r="R11" s="2">
        <v>4.25</v>
      </c>
    </row>
    <row r="12" spans="1:18" x14ac:dyDescent="0.3">
      <c r="E12" s="5" t="s">
        <v>44</v>
      </c>
      <c r="F12" s="1">
        <v>10</v>
      </c>
      <c r="K12" s="5" t="s">
        <v>44</v>
      </c>
      <c r="L12" s="2">
        <v>27.3</v>
      </c>
      <c r="Q12" s="5" t="s">
        <v>45</v>
      </c>
      <c r="R12" s="2">
        <v>4.5999999999999996</v>
      </c>
    </row>
    <row r="13" spans="1:18" x14ac:dyDescent="0.3">
      <c r="E13" s="5" t="s">
        <v>45</v>
      </c>
      <c r="F13" s="1">
        <v>15</v>
      </c>
      <c r="K13" s="5" t="s">
        <v>45</v>
      </c>
      <c r="L13" s="2">
        <v>31.933333333333334</v>
      </c>
      <c r="Q13" s="5" t="s">
        <v>47</v>
      </c>
      <c r="R13" s="2">
        <v>2.3333333333333335</v>
      </c>
    </row>
    <row r="14" spans="1:18" x14ac:dyDescent="0.3">
      <c r="E14" s="5" t="s">
        <v>46</v>
      </c>
      <c r="F14" s="1">
        <v>14</v>
      </c>
      <c r="K14" s="5" t="s">
        <v>46</v>
      </c>
      <c r="L14" s="2">
        <v>30.5</v>
      </c>
      <c r="Q14" s="5" t="s">
        <v>48</v>
      </c>
      <c r="R14" s="2">
        <v>9</v>
      </c>
    </row>
    <row r="15" spans="1:18" x14ac:dyDescent="0.3">
      <c r="E15" s="5" t="s">
        <v>47</v>
      </c>
      <c r="F15" s="1">
        <v>16</v>
      </c>
      <c r="K15" s="5" t="s">
        <v>47</v>
      </c>
      <c r="L15" s="2">
        <v>38.0625</v>
      </c>
      <c r="Q15" s="5" t="s">
        <v>49</v>
      </c>
      <c r="R15" s="2">
        <v>2.75</v>
      </c>
    </row>
    <row r="16" spans="1:18" x14ac:dyDescent="0.3">
      <c r="A16" t="s">
        <v>3</v>
      </c>
      <c r="E16" s="5" t="s">
        <v>48</v>
      </c>
      <c r="F16" s="1">
        <v>12</v>
      </c>
      <c r="K16" s="5" t="s">
        <v>48</v>
      </c>
      <c r="L16" s="2">
        <v>36.333333333333336</v>
      </c>
      <c r="Q16" s="5" t="s">
        <v>50</v>
      </c>
      <c r="R16" s="2">
        <v>6.8888888888888893</v>
      </c>
    </row>
    <row r="17" spans="1:18" x14ac:dyDescent="0.3">
      <c r="A17" s="2">
        <v>4.6269841269841274</v>
      </c>
      <c r="E17" s="5" t="s">
        <v>49</v>
      </c>
      <c r="F17" s="1">
        <v>12</v>
      </c>
      <c r="K17" s="5" t="s">
        <v>49</v>
      </c>
      <c r="L17" s="2">
        <v>27</v>
      </c>
      <c r="Q17" s="5" t="s">
        <v>51</v>
      </c>
      <c r="R17" s="2">
        <v>5</v>
      </c>
    </row>
    <row r="18" spans="1:18" x14ac:dyDescent="0.3">
      <c r="E18" s="5" t="s">
        <v>50</v>
      </c>
      <c r="F18" s="1">
        <v>13</v>
      </c>
      <c r="K18" s="5" t="s">
        <v>50</v>
      </c>
      <c r="L18" s="2">
        <v>37.46153846153846</v>
      </c>
      <c r="Q18" s="5" t="s">
        <v>52</v>
      </c>
      <c r="R18" s="2">
        <v>4.166666666666667</v>
      </c>
    </row>
    <row r="19" spans="1:18" x14ac:dyDescent="0.3">
      <c r="E19" s="5" t="s">
        <v>51</v>
      </c>
      <c r="F19" s="1">
        <v>20</v>
      </c>
      <c r="K19" s="5" t="s">
        <v>51</v>
      </c>
      <c r="L19" s="2">
        <v>39.25</v>
      </c>
      <c r="Q19" s="5" t="s">
        <v>53</v>
      </c>
      <c r="R19" s="2">
        <v>2.5</v>
      </c>
    </row>
    <row r="20" spans="1:18" x14ac:dyDescent="0.3">
      <c r="E20" s="5" t="s">
        <v>52</v>
      </c>
      <c r="F20" s="1">
        <v>17</v>
      </c>
      <c r="K20" s="5" t="s">
        <v>52</v>
      </c>
      <c r="L20" s="2">
        <v>33.647058823529413</v>
      </c>
      <c r="Q20" s="5" t="s">
        <v>54</v>
      </c>
      <c r="R20" s="2">
        <v>6</v>
      </c>
    </row>
    <row r="21" spans="1:18" x14ac:dyDescent="0.3">
      <c r="E21" s="5" t="s">
        <v>53</v>
      </c>
      <c r="F21" s="1">
        <v>10</v>
      </c>
      <c r="K21" s="5" t="s">
        <v>53</v>
      </c>
      <c r="L21" s="2">
        <v>42.2</v>
      </c>
      <c r="Q21" s="5" t="s">
        <v>55</v>
      </c>
      <c r="R21" s="2">
        <v>3.8</v>
      </c>
    </row>
    <row r="22" spans="1:18" x14ac:dyDescent="0.3">
      <c r="E22" s="5" t="s">
        <v>54</v>
      </c>
      <c r="F22" s="1">
        <v>16</v>
      </c>
      <c r="K22" s="5" t="s">
        <v>54</v>
      </c>
      <c r="L22" s="2">
        <v>33.3125</v>
      </c>
      <c r="Q22" s="5" t="s">
        <v>56</v>
      </c>
      <c r="R22" s="2">
        <v>3.6</v>
      </c>
    </row>
    <row r="23" spans="1:18" x14ac:dyDescent="0.3">
      <c r="E23" s="5" t="s">
        <v>55</v>
      </c>
      <c r="F23" s="1">
        <v>13</v>
      </c>
      <c r="K23" s="5" t="s">
        <v>55</v>
      </c>
      <c r="L23" s="2">
        <v>25.76923076923077</v>
      </c>
      <c r="Q23" s="5" t="s">
        <v>58</v>
      </c>
      <c r="R23" s="2">
        <v>5.8571428571428568</v>
      </c>
    </row>
    <row r="24" spans="1:18" x14ac:dyDescent="0.3">
      <c r="E24" s="5" t="s">
        <v>56</v>
      </c>
      <c r="F24" s="1">
        <v>16</v>
      </c>
      <c r="K24" s="5" t="s">
        <v>56</v>
      </c>
      <c r="L24" s="2">
        <v>37.125</v>
      </c>
      <c r="Q24" s="5" t="s">
        <v>59</v>
      </c>
      <c r="R24" s="2">
        <v>6.25</v>
      </c>
    </row>
    <row r="25" spans="1:18" x14ac:dyDescent="0.3">
      <c r="E25" s="5" t="s">
        <v>57</v>
      </c>
      <c r="F25" s="1">
        <v>18</v>
      </c>
      <c r="K25" s="5" t="s">
        <v>57</v>
      </c>
      <c r="L25" s="2">
        <v>37</v>
      </c>
      <c r="Q25" s="5" t="s">
        <v>60</v>
      </c>
      <c r="R25" s="2">
        <v>4.666666666666667</v>
      </c>
    </row>
    <row r="26" spans="1:18" x14ac:dyDescent="0.3">
      <c r="E26" s="5" t="s">
        <v>58</v>
      </c>
      <c r="F26" s="1">
        <v>21</v>
      </c>
      <c r="K26" s="5" t="s">
        <v>58</v>
      </c>
      <c r="L26" s="2">
        <v>36.80952380952381</v>
      </c>
      <c r="Q26" s="5" t="s">
        <v>61</v>
      </c>
      <c r="R26" s="2">
        <v>0</v>
      </c>
    </row>
    <row r="27" spans="1:18" x14ac:dyDescent="0.3">
      <c r="E27" s="5" t="s">
        <v>59</v>
      </c>
      <c r="F27" s="1">
        <v>15</v>
      </c>
      <c r="K27" s="5" t="s">
        <v>59</v>
      </c>
      <c r="L27" s="2">
        <v>39.799999999999997</v>
      </c>
      <c r="Q27" s="5" t="s">
        <v>62</v>
      </c>
      <c r="R27" s="2">
        <v>4.666666666666667</v>
      </c>
    </row>
    <row r="28" spans="1:18" x14ac:dyDescent="0.3">
      <c r="E28" s="5" t="s">
        <v>60</v>
      </c>
      <c r="F28" s="1">
        <v>18</v>
      </c>
      <c r="K28" s="5" t="s">
        <v>60</v>
      </c>
      <c r="L28" s="2">
        <v>38</v>
      </c>
      <c r="Q28" s="5" t="s">
        <v>63</v>
      </c>
      <c r="R28" s="2">
        <v>2.8</v>
      </c>
    </row>
    <row r="29" spans="1:18" x14ac:dyDescent="0.3">
      <c r="E29" s="5" t="s">
        <v>61</v>
      </c>
      <c r="F29" s="1">
        <v>15</v>
      </c>
      <c r="K29" s="5" t="s">
        <v>61</v>
      </c>
      <c r="L29" s="2">
        <v>36.133333333333333</v>
      </c>
      <c r="Q29" s="5" t="s">
        <v>64</v>
      </c>
      <c r="R29" s="2">
        <v>4.2</v>
      </c>
    </row>
    <row r="30" spans="1:18" x14ac:dyDescent="0.3">
      <c r="E30" s="5" t="s">
        <v>62</v>
      </c>
      <c r="F30" s="1">
        <v>18</v>
      </c>
      <c r="K30" s="5" t="s">
        <v>62</v>
      </c>
      <c r="L30" s="2">
        <v>36.555555555555557</v>
      </c>
      <c r="Q30" s="5" t="s">
        <v>65</v>
      </c>
      <c r="R30" s="2">
        <v>2.5</v>
      </c>
    </row>
    <row r="31" spans="1:18" x14ac:dyDescent="0.3">
      <c r="E31" s="5" t="s">
        <v>63</v>
      </c>
      <c r="F31" s="1">
        <v>19</v>
      </c>
      <c r="K31" s="5" t="s">
        <v>63</v>
      </c>
      <c r="L31" s="2">
        <v>39.210526315789473</v>
      </c>
      <c r="Q31" s="5" t="s">
        <v>66</v>
      </c>
      <c r="R31" s="2">
        <v>5</v>
      </c>
    </row>
    <row r="32" spans="1:18" x14ac:dyDescent="0.3">
      <c r="E32" s="5" t="s">
        <v>64</v>
      </c>
      <c r="F32" s="1">
        <v>16</v>
      </c>
      <c r="K32" s="5" t="s">
        <v>64</v>
      </c>
      <c r="L32" s="2">
        <v>31.1875</v>
      </c>
      <c r="Q32" s="5" t="s">
        <v>5</v>
      </c>
      <c r="R32" s="2">
        <v>4.6269841269841274</v>
      </c>
    </row>
    <row r="33" spans="1:12" x14ac:dyDescent="0.3">
      <c r="E33" s="5" t="s">
        <v>65</v>
      </c>
      <c r="F33" s="1">
        <v>13</v>
      </c>
      <c r="K33" s="5" t="s">
        <v>65</v>
      </c>
      <c r="L33" s="2">
        <v>35.153846153846153</v>
      </c>
    </row>
    <row r="34" spans="1:12" x14ac:dyDescent="0.3">
      <c r="E34" s="5" t="s">
        <v>66</v>
      </c>
      <c r="F34" s="1">
        <v>16</v>
      </c>
      <c r="K34" s="5" t="s">
        <v>66</v>
      </c>
      <c r="L34" s="2">
        <v>34.25</v>
      </c>
    </row>
    <row r="35" spans="1:12" x14ac:dyDescent="0.3">
      <c r="E35" s="5" t="s">
        <v>5</v>
      </c>
      <c r="F35" s="1">
        <v>469</v>
      </c>
      <c r="K35" s="5" t="s">
        <v>5</v>
      </c>
      <c r="L35" s="2">
        <v>35.044776119402982</v>
      </c>
    </row>
    <row r="40" spans="1:12" x14ac:dyDescent="0.3">
      <c r="A40" s="4" t="s">
        <v>4</v>
      </c>
      <c r="B40" t="s">
        <v>6</v>
      </c>
      <c r="C40" t="s">
        <v>9</v>
      </c>
    </row>
    <row r="41" spans="1:12" x14ac:dyDescent="0.3">
      <c r="A41" s="5" t="s">
        <v>7</v>
      </c>
      <c r="B41" s="7">
        <v>217</v>
      </c>
      <c r="C41" s="8">
        <v>0.46268656716417911</v>
      </c>
    </row>
    <row r="42" spans="1:12" x14ac:dyDescent="0.3">
      <c r="A42" s="5" t="s">
        <v>8</v>
      </c>
      <c r="B42" s="7">
        <v>252</v>
      </c>
      <c r="C42" s="8">
        <v>0.53731343283582089</v>
      </c>
    </row>
    <row r="43" spans="1:12" x14ac:dyDescent="0.3">
      <c r="A43" s="5" t="s">
        <v>5</v>
      </c>
      <c r="B43" s="7">
        <v>469</v>
      </c>
      <c r="C43" s="8">
        <v>1</v>
      </c>
    </row>
    <row r="47" spans="1:12" x14ac:dyDescent="0.3">
      <c r="A47" s="9" t="s">
        <v>10</v>
      </c>
      <c r="B47" s="10" t="s">
        <v>1</v>
      </c>
      <c r="C47" s="10" t="s">
        <v>11</v>
      </c>
      <c r="D47" s="9"/>
    </row>
    <row r="48" spans="1:12" x14ac:dyDescent="0.3">
      <c r="A48" s="11" t="str">
        <f>A42</f>
        <v>Not Admitted</v>
      </c>
      <c r="B48" s="11">
        <f t="shared" ref="B48:C48" si="0">B42</f>
        <v>252</v>
      </c>
      <c r="C48" s="12">
        <f t="shared" si="0"/>
        <v>0.53731343283582089</v>
      </c>
    </row>
    <row r="49" spans="1:3" x14ac:dyDescent="0.3">
      <c r="A49" s="11" t="str">
        <f>A41</f>
        <v>Admitted</v>
      </c>
      <c r="B49" s="11">
        <f t="shared" ref="B49:C49" si="1">B41</f>
        <v>217</v>
      </c>
      <c r="C49" s="12">
        <f t="shared" si="1"/>
        <v>0.46268656716417911</v>
      </c>
    </row>
    <row r="53" spans="1:3" x14ac:dyDescent="0.3">
      <c r="A53" s="4" t="s">
        <v>4</v>
      </c>
      <c r="B53" t="s">
        <v>20</v>
      </c>
    </row>
    <row r="54" spans="1:3" x14ac:dyDescent="0.3">
      <c r="A54" s="5" t="s">
        <v>12</v>
      </c>
      <c r="B54" s="7">
        <v>59</v>
      </c>
    </row>
    <row r="55" spans="1:3" x14ac:dyDescent="0.3">
      <c r="A55" s="5" t="s">
        <v>13</v>
      </c>
      <c r="B55" s="7">
        <v>57</v>
      </c>
    </row>
    <row r="56" spans="1:3" x14ac:dyDescent="0.3">
      <c r="A56" s="5" t="s">
        <v>14</v>
      </c>
      <c r="B56" s="7">
        <v>69</v>
      </c>
    </row>
    <row r="57" spans="1:3" x14ac:dyDescent="0.3">
      <c r="A57" s="5" t="s">
        <v>15</v>
      </c>
      <c r="B57" s="7">
        <v>62</v>
      </c>
    </row>
    <row r="58" spans="1:3" x14ac:dyDescent="0.3">
      <c r="A58" s="5" t="s">
        <v>16</v>
      </c>
      <c r="B58" s="7">
        <v>54</v>
      </c>
    </row>
    <row r="59" spans="1:3" x14ac:dyDescent="0.3">
      <c r="A59" s="5" t="s">
        <v>17</v>
      </c>
      <c r="B59" s="7">
        <v>57</v>
      </c>
    </row>
    <row r="60" spans="1:3" x14ac:dyDescent="0.3">
      <c r="A60" s="5" t="s">
        <v>18</v>
      </c>
      <c r="B60" s="7">
        <v>54</v>
      </c>
    </row>
    <row r="61" spans="1:3" x14ac:dyDescent="0.3">
      <c r="A61" s="5" t="s">
        <v>19</v>
      </c>
      <c r="B61" s="7">
        <v>57</v>
      </c>
    </row>
    <row r="62" spans="1:3" x14ac:dyDescent="0.3">
      <c r="A62" s="5" t="s">
        <v>5</v>
      </c>
      <c r="B62" s="7">
        <v>469</v>
      </c>
    </row>
    <row r="67" spans="1:2" x14ac:dyDescent="0.3">
      <c r="A67" s="4" t="s">
        <v>4</v>
      </c>
      <c r="B67" t="s">
        <v>23</v>
      </c>
    </row>
    <row r="68" spans="1:2" x14ac:dyDescent="0.3">
      <c r="A68" s="5" t="s">
        <v>21</v>
      </c>
      <c r="B68" s="2">
        <v>268</v>
      </c>
    </row>
    <row r="69" spans="1:2" x14ac:dyDescent="0.3">
      <c r="A69" s="5" t="s">
        <v>22</v>
      </c>
      <c r="B69" s="2">
        <v>201</v>
      </c>
    </row>
    <row r="70" spans="1:2" x14ac:dyDescent="0.3">
      <c r="A70" s="5" t="s">
        <v>5</v>
      </c>
      <c r="B70" s="2">
        <v>469</v>
      </c>
    </row>
    <row r="75" spans="1:2" x14ac:dyDescent="0.3">
      <c r="A75" s="4" t="s">
        <v>4</v>
      </c>
      <c r="B75" t="s">
        <v>26</v>
      </c>
    </row>
    <row r="76" spans="1:2" x14ac:dyDescent="0.3">
      <c r="A76" s="5" t="s">
        <v>24</v>
      </c>
      <c r="B76" s="2">
        <v>241</v>
      </c>
    </row>
    <row r="77" spans="1:2" x14ac:dyDescent="0.3">
      <c r="A77" s="5" t="s">
        <v>25</v>
      </c>
      <c r="B77" s="2">
        <v>228</v>
      </c>
    </row>
    <row r="78" spans="1:2" x14ac:dyDescent="0.3">
      <c r="A78" s="5" t="s">
        <v>5</v>
      </c>
      <c r="B78" s="2">
        <v>469</v>
      </c>
    </row>
    <row r="82" spans="1:2" x14ac:dyDescent="0.3">
      <c r="A82" s="4" t="s">
        <v>4</v>
      </c>
      <c r="B82" t="s">
        <v>35</v>
      </c>
    </row>
    <row r="83" spans="1:2" x14ac:dyDescent="0.3">
      <c r="A83" s="5" t="s">
        <v>34</v>
      </c>
      <c r="B83" s="7">
        <v>3</v>
      </c>
    </row>
    <row r="84" spans="1:2" x14ac:dyDescent="0.3">
      <c r="A84" s="5" t="s">
        <v>28</v>
      </c>
      <c r="B84" s="7">
        <v>8</v>
      </c>
    </row>
    <row r="85" spans="1:2" x14ac:dyDescent="0.3">
      <c r="A85" s="5" t="s">
        <v>30</v>
      </c>
      <c r="B85" s="7">
        <v>10</v>
      </c>
    </row>
    <row r="86" spans="1:2" x14ac:dyDescent="0.3">
      <c r="A86" s="5" t="s">
        <v>27</v>
      </c>
      <c r="B86" s="7">
        <v>13</v>
      </c>
    </row>
    <row r="87" spans="1:2" x14ac:dyDescent="0.3">
      <c r="A87" s="5" t="s">
        <v>33</v>
      </c>
      <c r="B87" s="7">
        <v>15</v>
      </c>
    </row>
    <row r="88" spans="1:2" x14ac:dyDescent="0.3">
      <c r="A88" s="5" t="s">
        <v>32</v>
      </c>
      <c r="B88" s="7">
        <v>44</v>
      </c>
    </row>
    <row r="89" spans="1:2" x14ac:dyDescent="0.3">
      <c r="A89" s="5" t="s">
        <v>29</v>
      </c>
      <c r="B89" s="7">
        <v>92</v>
      </c>
    </row>
    <row r="90" spans="1:2" x14ac:dyDescent="0.3">
      <c r="A90" s="5" t="s">
        <v>31</v>
      </c>
      <c r="B90" s="7">
        <v>284</v>
      </c>
    </row>
    <row r="91" spans="1:2" x14ac:dyDescent="0.3">
      <c r="A91" s="5" t="s">
        <v>5</v>
      </c>
      <c r="B91" s="7">
        <v>469</v>
      </c>
    </row>
    <row r="95" spans="1:2" x14ac:dyDescent="0.3">
      <c r="A95" s="4" t="s">
        <v>4</v>
      </c>
    </row>
    <row r="96" spans="1:2" x14ac:dyDescent="0.3">
      <c r="A96" s="5" t="s">
        <v>36</v>
      </c>
    </row>
    <row r="97" spans="1:1" x14ac:dyDescent="0.3">
      <c r="A97"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F98A1-89D1-4A72-9D81-2E802FD37C2B}">
  <dimension ref="A1:N20"/>
  <sheetViews>
    <sheetView tabSelected="1" zoomScale="160" zoomScaleNormal="160" workbookViewId="0">
      <selection activeCell="K25" sqref="K25"/>
    </sheetView>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1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634A-C015-4EC6-A298-C80BB47BC658}">
  <dimension ref="A1:O21"/>
  <sheetViews>
    <sheetView zoomScale="130" zoomScaleNormal="130" workbookViewId="0">
      <selection activeCell="O21" sqref="O21"/>
    </sheetView>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AE48-0B8B-4C4B-8544-96B3FD782EE9}">
  <dimension ref="A1:O21"/>
  <sheetViews>
    <sheetView zoomScale="130" zoomScaleNormal="130" workbookViewId="0">
      <selection activeCell="N20" sqref="N20"/>
    </sheetView>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26D1-BE28-4CAB-82FE-94B03ACDEC64}">
  <dimension ref="A1:O21"/>
  <sheetViews>
    <sheetView zoomScale="130" zoomScaleNormal="130" workbookViewId="0">
      <selection activeCell="N21" sqref="N21"/>
    </sheetView>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C1A00C2-05B8-4300-BB2D-80E9E04659FF}">
  <ds:schemaRefs/>
</ds:datastoreItem>
</file>

<file path=customXml/itemProps2.xml><?xml version="1.0" encoding="utf-8"?>
<ds:datastoreItem xmlns:ds="http://schemas.openxmlformats.org/officeDocument/2006/customXml" ds:itemID="{2FB4FBEC-6700-4DD0-8CE6-2C1548E7EB91}">
  <ds:schemaRefs/>
</ds:datastoreItem>
</file>

<file path=customXml/itemProps3.xml><?xml version="1.0" encoding="utf-8"?>
<ds:datastoreItem xmlns:ds="http://schemas.openxmlformats.org/officeDocument/2006/customXml" ds:itemID="{3536F2CF-058B-47A9-8A4D-B60D00F1D89E}">
  <ds:schemaRefs/>
</ds:datastoreItem>
</file>

<file path=customXml/itemProps4.xml><?xml version="1.0" encoding="utf-8"?>
<ds:datastoreItem xmlns:ds="http://schemas.openxmlformats.org/officeDocument/2006/customXml" ds:itemID="{DE6A257B-029F-4926-A5D9-735FF8179DDC}">
  <ds:schemaRefs/>
</ds:datastoreItem>
</file>

<file path=customXml/itemProps5.xml><?xml version="1.0" encoding="utf-8"?>
<ds:datastoreItem xmlns:ds="http://schemas.openxmlformats.org/officeDocument/2006/customXml" ds:itemID="{E100FD0C-CC35-4F51-83B5-5883758BA500}">
  <ds:schemaRefs/>
</ds:datastoreItem>
</file>

<file path=customXml/itemProps6.xml><?xml version="1.0" encoding="utf-8"?>
<ds:datastoreItem xmlns:ds="http://schemas.openxmlformats.org/officeDocument/2006/customXml" ds:itemID="{FCDC03AD-CA44-44C4-9E38-3CC4F7CD5296}">
  <ds:schemaRefs/>
</ds:datastoreItem>
</file>

<file path=customXml/itemProps7.xml><?xml version="1.0" encoding="utf-8"?>
<ds:datastoreItem xmlns:ds="http://schemas.openxmlformats.org/officeDocument/2006/customXml" ds:itemID="{2DE8E768-44E8-45F2-8329-B71461DDAA08}">
  <ds:schemaRefs/>
</ds:datastoreItem>
</file>

<file path=customXml/itemProps8.xml><?xml version="1.0" encoding="utf-8"?>
<ds:datastoreItem xmlns:ds="http://schemas.openxmlformats.org/officeDocument/2006/customXml" ds:itemID="{ED28498A-5473-4C1E-AEAB-3F2DBED75AF7}">
  <ds:schemaRefs/>
</ds:datastoreItem>
</file>

<file path=customXml/itemProps9.xml><?xml version="1.0" encoding="utf-8"?>
<ds:datastoreItem xmlns:ds="http://schemas.openxmlformats.org/officeDocument/2006/customXml" ds:itemID="{3D42B5BE-CC42-430E-9A94-F3DCCDBC13D1}">
  <ds:schemaRefs/>
</ds:datastoreItem>
</file>

<file path=customXml/itemProps10.xml><?xml version="1.0" encoding="utf-8"?>
<ds:datastoreItem xmlns:ds="http://schemas.openxmlformats.org/officeDocument/2006/customXml" ds:itemID="{59147881-C481-4227-8B45-C56A2503187C}">
  <ds:schemaRefs/>
</ds:datastoreItem>
</file>

<file path=customXml/itemProps11.xml><?xml version="1.0" encoding="utf-8"?>
<ds:datastoreItem xmlns:ds="http://schemas.openxmlformats.org/officeDocument/2006/customXml" ds:itemID="{4F8E9A38-09F4-493B-A1A9-70E59C3912B4}">
  <ds:schemaRefs/>
</ds:datastoreItem>
</file>

<file path=customXml/itemProps12.xml><?xml version="1.0" encoding="utf-8"?>
<ds:datastoreItem xmlns:ds="http://schemas.openxmlformats.org/officeDocument/2006/customXml" ds:itemID="{8605A724-4226-48F4-8917-26096D9742A5}">
  <ds:schemaRefs/>
</ds:datastoreItem>
</file>

<file path=customXml/itemProps13.xml><?xml version="1.0" encoding="utf-8"?>
<ds:datastoreItem xmlns:ds="http://schemas.openxmlformats.org/officeDocument/2006/customXml" ds:itemID="{F9249594-0449-4C84-80F8-814303CB6340}">
  <ds:schemaRefs/>
</ds:datastoreItem>
</file>

<file path=customXml/itemProps14.xml><?xml version="1.0" encoding="utf-8"?>
<ds:datastoreItem xmlns:ds="http://schemas.openxmlformats.org/officeDocument/2006/customXml" ds:itemID="{B25AF356-683F-4768-9DB3-99F8BBAD364A}">
  <ds:schemaRefs/>
</ds:datastoreItem>
</file>

<file path=customXml/itemProps15.xml><?xml version="1.0" encoding="utf-8"?>
<ds:datastoreItem xmlns:ds="http://schemas.openxmlformats.org/officeDocument/2006/customXml" ds:itemID="{340A7738-B73A-430B-BF87-53A7EE969305}">
  <ds:schemaRefs/>
</ds:datastoreItem>
</file>

<file path=customXml/itemProps16.xml><?xml version="1.0" encoding="utf-8"?>
<ds:datastoreItem xmlns:ds="http://schemas.openxmlformats.org/officeDocument/2006/customXml" ds:itemID="{B49E3DBE-9093-4811-9D8D-9DDAA72EBBBE}">
  <ds:schemaRefs>
    <ds:schemaRef ds:uri="http://schemas.microsoft.com/DataMashup"/>
  </ds:schemaRefs>
</ds:datastoreItem>
</file>

<file path=customXml/itemProps17.xml><?xml version="1.0" encoding="utf-8"?>
<ds:datastoreItem xmlns:ds="http://schemas.openxmlformats.org/officeDocument/2006/customXml" ds:itemID="{623DF441-720E-4895-B67D-133B54A125CA}">
  <ds:schemaRefs/>
</ds:datastoreItem>
</file>

<file path=customXml/itemProps18.xml><?xml version="1.0" encoding="utf-8"?>
<ds:datastoreItem xmlns:ds="http://schemas.openxmlformats.org/officeDocument/2006/customXml" ds:itemID="{642D33D4-6757-4670-8699-DED2D16E94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 Trend</vt:lpstr>
      <vt:lpstr>Avg Wait Time Trend</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SWETABH SUMAN</dc:creator>
  <cp:lastModifiedBy>SWETABH SUMAN</cp:lastModifiedBy>
  <dcterms:created xsi:type="dcterms:W3CDTF">2015-06-05T18:17:20Z</dcterms:created>
  <dcterms:modified xsi:type="dcterms:W3CDTF">2025-11-22T12:56:11Z</dcterms:modified>
</cp:coreProperties>
</file>